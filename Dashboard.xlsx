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2b47c9556a15450b/Desktop/"/>
    </mc:Choice>
  </mc:AlternateContent>
  <xr:revisionPtr revIDLastSave="2" documentId="8_{C9638208-1FC0-49DF-AC84-DA85A5B0946C}" xr6:coauthVersionLast="47" xr6:coauthVersionMax="47" xr10:uidLastSave="{28B4D355-9792-4E76-978E-5227EF983332}"/>
  <bookViews>
    <workbookView xWindow="-110" yWindow="-110" windowWidth="19420" windowHeight="10420" xr2:uid="{00000000-000D-0000-FFFF-FFFF00000000}"/>
  </bookViews>
  <sheets>
    <sheet name="Dashboard" sheetId="9" r:id="rId1"/>
    <sheet name="Category" sheetId="4" r:id="rId2"/>
    <sheet name="Region" sheetId="5" r:id="rId3"/>
    <sheet name="Sales" sheetId="6" r:id="rId4"/>
    <sheet name="Top 10" sheetId="8" r:id="rId5"/>
    <sheet name="Clean data" sheetId="2" r:id="rId6"/>
    <sheet name="Analysis" sheetId="3" r:id="rId7"/>
    <sheet name="Raw Data" sheetId="1" r:id="rId8"/>
  </sheets>
  <definedNames>
    <definedName name="ExternalData_1" localSheetId="5" hidden="1">'Clean data'!$A$1:$I$1001</definedName>
    <definedName name="Slicer_Category">#N/A</definedName>
    <definedName name="Slicer_Product">#N/A</definedName>
    <definedName name="Slicer_Region">#N/A</definedName>
  </definedNames>
  <calcPr calcId="191029"/>
  <pivotCaches>
    <pivotCache cacheId="1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9" l="1"/>
  <c r="H4" i="9"/>
  <c r="F4" i="9"/>
  <c r="D4" i="9"/>
  <c r="F4" i="3"/>
  <c r="E4" i="3"/>
  <c r="D4" i="3"/>
  <c r="C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DCF268-02FA-4E5C-827C-91588FCB4FB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<sst xmlns="http://schemas.openxmlformats.org/spreadsheetml/2006/main" count="10080" uniqueCount="1064">
  <si>
    <t>Order ID</t>
  </si>
  <si>
    <t>Order Date</t>
  </si>
  <si>
    <t>Customer</t>
  </si>
  <si>
    <t>Region</t>
  </si>
  <si>
    <t>Product</t>
  </si>
  <si>
    <t>Category</t>
  </si>
  <si>
    <t>Quantity</t>
  </si>
  <si>
    <t>Unit Price</t>
  </si>
  <si>
    <t>Sales</t>
  </si>
  <si>
    <t>ORD-0627</t>
  </si>
  <si>
    <t>Bilal Ahmed</t>
  </si>
  <si>
    <t>Multan</t>
  </si>
  <si>
    <t>Mouse</t>
  </si>
  <si>
    <t>Accessories</t>
  </si>
  <si>
    <t>ORD-0630</t>
  </si>
  <si>
    <t>Zain Ahmed</t>
  </si>
  <si>
    <t>Rawalpindi</t>
  </si>
  <si>
    <t>Monitor</t>
  </si>
  <si>
    <t>Electronics</t>
  </si>
  <si>
    <t>ORD-0848</t>
  </si>
  <si>
    <t>Sara Khan</t>
  </si>
  <si>
    <t>Printer</t>
  </si>
  <si>
    <t>Office Equipment</t>
  </si>
  <si>
    <t>ORD-0515</t>
  </si>
  <si>
    <t>Fatima Ali</t>
  </si>
  <si>
    <t>Lahore</t>
  </si>
  <si>
    <t>Laptop</t>
  </si>
  <si>
    <t>ORD-0366</t>
  </si>
  <si>
    <t>ORD-0904</t>
  </si>
  <si>
    <t>Ali Khan</t>
  </si>
  <si>
    <t>ORD-0656</t>
  </si>
  <si>
    <t>Ahmed Ali</t>
  </si>
  <si>
    <t>Keyboard</t>
  </si>
  <si>
    <t>ORD-0529</t>
  </si>
  <si>
    <t>Danish Raza</t>
  </si>
  <si>
    <t>ORD-0322</t>
  </si>
  <si>
    <t>Karachi</t>
  </si>
  <si>
    <t>Tablet</t>
  </si>
  <si>
    <t>ORD-0071</t>
  </si>
  <si>
    <t>Hassan Shah</t>
  </si>
  <si>
    <t>Headphones</t>
  </si>
  <si>
    <t>ORD-0791</t>
  </si>
  <si>
    <t>ORD-0372</t>
  </si>
  <si>
    <t>ORD-0835</t>
  </si>
  <si>
    <t>Saad Khan</t>
  </si>
  <si>
    <t>ORD-0457</t>
  </si>
  <si>
    <t>Hamza Raza</t>
  </si>
  <si>
    <t>ORD-0248</t>
  </si>
  <si>
    <t>ORD-0959</t>
  </si>
  <si>
    <t>Islamabad</t>
  </si>
  <si>
    <t>ORD-0827</t>
  </si>
  <si>
    <t>Ayesha Noor</t>
  </si>
  <si>
    <t>ORD-0978</t>
  </si>
  <si>
    <t>ORD-0299</t>
  </si>
  <si>
    <t>Chair</t>
  </si>
  <si>
    <t>Furniture</t>
  </si>
  <si>
    <t>ORD-0102</t>
  </si>
  <si>
    <t>ORD-0752</t>
  </si>
  <si>
    <t>ORD-0605</t>
  </si>
  <si>
    <t>ORD-0214</t>
  </si>
  <si>
    <t>ORD-0238</t>
  </si>
  <si>
    <t>Webcam</t>
  </si>
  <si>
    <t>ORD-0869</t>
  </si>
  <si>
    <t>Desk</t>
  </si>
  <si>
    <t>ORD-0282</t>
  </si>
  <si>
    <t>Usman Malik</t>
  </si>
  <si>
    <t>ORD-0378</t>
  </si>
  <si>
    <t>ORD-0287</t>
  </si>
  <si>
    <t>ORD-0389</t>
  </si>
  <si>
    <t>ORD-0883</t>
  </si>
  <si>
    <t>ORD-0717</t>
  </si>
  <si>
    <t>ORD-0793</t>
  </si>
  <si>
    <t>ORD-0097</t>
  </si>
  <si>
    <t>ORD-0245</t>
  </si>
  <si>
    <t>Faisalabad</t>
  </si>
  <si>
    <t>ORD-0735</t>
  </si>
  <si>
    <t>ORD-0077</t>
  </si>
  <si>
    <t>ORD-0897</t>
  </si>
  <si>
    <t>ORD-0210</t>
  </si>
  <si>
    <t>ORD-0260</t>
  </si>
  <si>
    <t>ORD-0159</t>
  </si>
  <si>
    <t>ORD-0496</t>
  </si>
  <si>
    <t>ORD-0526</t>
  </si>
  <si>
    <t>ORD-0332</t>
  </si>
  <si>
    <t>ORD-0952</t>
  </si>
  <si>
    <t>ORD-0315</t>
  </si>
  <si>
    <t>ORD-0295</t>
  </si>
  <si>
    <t>ORD-0382</t>
  </si>
  <si>
    <t>ORD-0920</t>
  </si>
  <si>
    <t>ORD-0573</t>
  </si>
  <si>
    <t>ORD-0875</t>
  </si>
  <si>
    <t>ORD-0517</t>
  </si>
  <si>
    <t>ORD-0718</t>
  </si>
  <si>
    <t>ORD-0060</t>
  </si>
  <si>
    <t>ORD-0674</t>
  </si>
  <si>
    <t>ORD-0558</t>
  </si>
  <si>
    <t>ORD-0744</t>
  </si>
  <si>
    <t>ORD-0381</t>
  </si>
  <si>
    <t>ORD-0055</t>
  </si>
  <si>
    <t>ORD-0024</t>
  </si>
  <si>
    <t>ORD-0031</t>
  </si>
  <si>
    <t>ORD-0954</t>
  </si>
  <si>
    <t>ORD-0430</t>
  </si>
  <si>
    <t>ORD-0011</t>
  </si>
  <si>
    <t>ORD-0654</t>
  </si>
  <si>
    <t>ORD-0809</t>
  </si>
  <si>
    <t>ORD-0483</t>
  </si>
  <si>
    <t>ORD-0446</t>
  </si>
  <si>
    <t>ORD-0200</t>
  </si>
  <si>
    <t>ORD-0501</t>
  </si>
  <si>
    <t>ORD-0905</t>
  </si>
  <si>
    <t>ORD-0108</t>
  </si>
  <si>
    <t>ORD-0219</t>
  </si>
  <si>
    <t>ORD-0421</t>
  </si>
  <si>
    <t>ORD-0175</t>
  </si>
  <si>
    <t>ORD-0895</t>
  </si>
  <si>
    <t>ORD-0519</t>
  </si>
  <si>
    <t>ORD-0454</t>
  </si>
  <si>
    <t>ORD-0929</t>
  </si>
  <si>
    <t>ORD-0040</t>
  </si>
  <si>
    <t>ORD-0707</t>
  </si>
  <si>
    <t>ORD-0947</t>
  </si>
  <si>
    <t>ORD-0352</t>
  </si>
  <si>
    <t>ORD-0067</t>
  </si>
  <si>
    <t>ORD-0278</t>
  </si>
  <si>
    <t>ORD-0068</t>
  </si>
  <si>
    <t>ORD-0906</t>
  </si>
  <si>
    <t>ORD-0733</t>
  </si>
  <si>
    <t>ORD-0817</t>
  </si>
  <si>
    <t>ORD-0297</t>
  </si>
  <si>
    <t>ORD-0618</t>
  </si>
  <si>
    <t>ORD-0598</t>
  </si>
  <si>
    <t>ORD-0815</t>
  </si>
  <si>
    <t>ORD-0798</t>
  </si>
  <si>
    <t>ORD-0424</t>
  </si>
  <si>
    <t>ORD-0757</t>
  </si>
  <si>
    <t>ORD-0313</t>
  </si>
  <si>
    <t>ORD-0185</t>
  </si>
  <si>
    <t>ORD-0333</t>
  </si>
  <si>
    <t>ORD-0089</t>
  </si>
  <si>
    <t>ORD-0064</t>
  </si>
  <si>
    <t>ORD-0830</t>
  </si>
  <si>
    <t>ORD-0803</t>
  </si>
  <si>
    <t>ORD-0216</t>
  </si>
  <si>
    <t>ORD-0604</t>
  </si>
  <si>
    <t>ORD-0548</t>
  </si>
  <si>
    <t>ORD-0291</t>
  </si>
  <si>
    <t>ORD-0787</t>
  </si>
  <si>
    <t>ORD-0887</t>
  </si>
  <si>
    <t>ORD-0963</t>
  </si>
  <si>
    <t>ORD-0942</t>
  </si>
  <si>
    <t>ORD-0741</t>
  </si>
  <si>
    <t>ORD-0681</t>
  </si>
  <si>
    <t>ORD-0694</t>
  </si>
  <si>
    <t>ORD-0989</t>
  </si>
  <si>
    <t>ORD-0310</t>
  </si>
  <si>
    <t>ORD-0087</t>
  </si>
  <si>
    <t>ORD-0849</t>
  </si>
  <si>
    <t>ORD-0785</t>
  </si>
  <si>
    <t>ORD-0311</t>
  </si>
  <si>
    <t>ORD-0536</t>
  </si>
  <si>
    <t>ORD-0137</t>
  </si>
  <si>
    <t>ORD-0871</t>
  </si>
  <si>
    <t>ORD-0466</t>
  </si>
  <si>
    <t>ORD-0896</t>
  </si>
  <si>
    <t>ORD-0262</t>
  </si>
  <si>
    <t>ORD-0487</t>
  </si>
  <si>
    <t>ORD-0169</t>
  </si>
  <si>
    <t>ORD-0828</t>
  </si>
  <si>
    <t>ORD-0448</t>
  </si>
  <si>
    <t>ORD-0140</t>
  </si>
  <si>
    <t>ORD-0683</t>
  </si>
  <si>
    <t>ORD-0771</t>
  </si>
  <si>
    <t>ORD-0853</t>
  </si>
  <si>
    <t>ORD-0441</t>
  </si>
  <si>
    <t>ORD-0999</t>
  </si>
  <si>
    <t>ORD-0531</t>
  </si>
  <si>
    <t>ORD-0056</t>
  </si>
  <si>
    <t>ORD-0121</t>
  </si>
  <si>
    <t>ORD-0528</t>
  </si>
  <si>
    <t>ORD-0026</t>
  </si>
  <si>
    <t>ORD-0073</t>
  </si>
  <si>
    <t>ORD-0045</t>
  </si>
  <si>
    <t>ORD-0250</t>
  </si>
  <si>
    <t>ORD-0395</t>
  </si>
  <si>
    <t>ORD-0933</t>
  </si>
  <si>
    <t>ORD-0997</t>
  </si>
  <si>
    <t>ORD-0958</t>
  </si>
  <si>
    <t>ORD-0199</t>
  </si>
  <si>
    <t>ORD-0540</t>
  </si>
  <si>
    <t>ORD-0356</t>
  </si>
  <si>
    <t>ORD-0324</t>
  </si>
  <si>
    <t>ORD-0946</t>
  </si>
  <si>
    <t>ORD-0768</t>
  </si>
  <si>
    <t>ORD-0236</t>
  </si>
  <si>
    <t>ORD-0977</t>
  </si>
  <si>
    <t>ORD-0945</t>
  </si>
  <si>
    <t>ORD-0939</t>
  </si>
  <si>
    <t>ORD-0903</t>
  </si>
  <si>
    <t>ORD-0300</t>
  </si>
  <si>
    <t>ORD-0061</t>
  </si>
  <si>
    <t>ORD-0328</t>
  </si>
  <si>
    <t>ORD-0527</t>
  </si>
  <si>
    <t>ORD-0599</t>
  </si>
  <si>
    <t>ORD-0814</t>
  </si>
  <si>
    <t>ORD-0936</t>
  </si>
  <si>
    <t>ORD-0981</t>
  </si>
  <si>
    <t>ORD-0596</t>
  </si>
  <si>
    <t>ORD-0542</t>
  </si>
  <si>
    <t>ORD-0781</t>
  </si>
  <si>
    <t>ORD-0306</t>
  </si>
  <si>
    <t>ORD-0319</t>
  </si>
  <si>
    <t>ORD-0482</t>
  </si>
  <si>
    <t>ORD-0494</t>
  </si>
  <si>
    <t>ORD-0266</t>
  </si>
  <si>
    <t>ORD-0111</t>
  </si>
  <si>
    <t>ORD-0469</t>
  </si>
  <si>
    <t>ORD-0709</t>
  </si>
  <si>
    <t>ORD-0588</t>
  </si>
  <si>
    <t>ORD-0257</t>
  </si>
  <si>
    <t>ORD-0261</t>
  </si>
  <si>
    <t>ORD-0544</t>
  </si>
  <si>
    <t>ORD-0406</t>
  </si>
  <si>
    <t>ORD-0429</t>
  </si>
  <si>
    <t>ORD-0676</t>
  </si>
  <si>
    <t>ORD-0502</t>
  </si>
  <si>
    <t>ORD-0433</t>
  </si>
  <si>
    <t>ORD-0731</t>
  </si>
  <si>
    <t>ORD-0138</t>
  </si>
  <si>
    <t>ORD-0358</t>
  </si>
  <si>
    <t>ORD-0928</t>
  </si>
  <si>
    <t>ORD-0222</t>
  </si>
  <si>
    <t>ORD-0753</t>
  </si>
  <si>
    <t>ORD-0594</t>
  </si>
  <si>
    <t>ORD-0804</t>
  </si>
  <si>
    <t>ORD-0364</t>
  </si>
  <si>
    <t>ORD-0523</t>
  </si>
  <si>
    <t>ORD-0209</t>
  </si>
  <si>
    <t>ORD-0778</t>
  </si>
  <si>
    <t>Ali  Khan</t>
  </si>
  <si>
    <t>ORD-0335</t>
  </si>
  <si>
    <t>ORD-0211</t>
  </si>
  <si>
    <t>ORD-0351</t>
  </si>
  <si>
    <t>ORD-0079</t>
  </si>
  <si>
    <t>ORD-0030</t>
  </si>
  <si>
    <t>ORD-0281</t>
  </si>
  <si>
    <t>ORD-0508</t>
  </si>
  <si>
    <t>ORD-0639</t>
  </si>
  <si>
    <t>ORD-0802</t>
  </si>
  <si>
    <t>ORD-0290</t>
  </si>
  <si>
    <t>ORD-0166</t>
  </si>
  <si>
    <t>ORD-0856</t>
  </si>
  <si>
    <t>ORD-0498</t>
  </si>
  <si>
    <t>ORD-0463</t>
  </si>
  <si>
    <t>ORD-0066</t>
  </si>
  <si>
    <t>ORD-0142</t>
  </si>
  <si>
    <t>ORD-0276</t>
  </si>
  <si>
    <t>ORD-0831</t>
  </si>
  <si>
    <t>ORD-0582</t>
  </si>
  <si>
    <t>ORD-0465</t>
  </si>
  <si>
    <t>ORD-0668</t>
  </si>
  <si>
    <t>ORD-0320</t>
  </si>
  <si>
    <t>ORD-0843</t>
  </si>
  <si>
    <t>ORD-0307</t>
  </si>
  <si>
    <t>ORD-0308</t>
  </si>
  <si>
    <t>ORD-0824</t>
  </si>
  <si>
    <t>ORD-0334</t>
  </si>
  <si>
    <t>ORD-0050</t>
  </si>
  <si>
    <t>ORD-0738</t>
  </si>
  <si>
    <t>ORD-0003</t>
  </si>
  <si>
    <t>ORD-0546</t>
  </si>
  <si>
    <t>ORD-0353</t>
  </si>
  <si>
    <t>ORD-0908</t>
  </si>
  <si>
    <t>ORD-0590</t>
  </si>
  <si>
    <t>ORD-0347</t>
  </si>
  <si>
    <t>ORD-0998</t>
  </si>
  <si>
    <t>ORD-0484</t>
  </si>
  <si>
    <t>ORD-0579</t>
  </si>
  <si>
    <t>ORD-0034</t>
  </si>
  <si>
    <t>ORD-0032</t>
  </si>
  <si>
    <t>ORD-0232</t>
  </si>
  <si>
    <t>ORD-0751</t>
  </si>
  <si>
    <t>ORD-0193</t>
  </si>
  <si>
    <t>ORD-0514</t>
  </si>
  <si>
    <t>ORD-0004</t>
  </si>
  <si>
    <t>ORD-0205</t>
  </si>
  <si>
    <t>ORD-0434</t>
  </si>
  <si>
    <t>ORD-0577</t>
  </si>
  <si>
    <t>ORD-0982</t>
  </si>
  <si>
    <t>ORD-0110</t>
  </si>
  <si>
    <t>ORD-0600</t>
  </si>
  <si>
    <t>ORD-0078</t>
  </si>
  <si>
    <t>ORD-0085</t>
  </si>
  <si>
    <t>ORD-0524</t>
  </si>
  <si>
    <t>ORD-0083</t>
  </si>
  <si>
    <t>ORD-0255</t>
  </si>
  <si>
    <t>ORD-0965</t>
  </si>
  <si>
    <t>ORD-0409</t>
  </si>
  <si>
    <t>ORD-0653</t>
  </si>
  <si>
    <t>ORD-0877</t>
  </si>
  <si>
    <t>ORD-0918</t>
  </si>
  <si>
    <t>ORD-0437</t>
  </si>
  <si>
    <t>ORD-0006</t>
  </si>
  <si>
    <t>ORD-0405</t>
  </si>
  <si>
    <t>ORD-0468</t>
  </si>
  <si>
    <t>ORD-0098</t>
  </si>
  <si>
    <t>ORD-0559</t>
  </si>
  <si>
    <t>ORD-0360</t>
  </si>
  <si>
    <t>ORD-0921</t>
  </si>
  <si>
    <t>ORD-0267</t>
  </si>
  <si>
    <t>ORD-0737</t>
  </si>
  <si>
    <t>ORD-0383</t>
  </si>
  <si>
    <t>ORD-0693</t>
  </si>
  <si>
    <t>ORD-0412</t>
  </si>
  <si>
    <t>ORD-0885</t>
  </si>
  <si>
    <t>ORD-0119</t>
  </si>
  <si>
    <t>ORD-0431</t>
  </si>
  <si>
    <t>ORD-0251</t>
  </si>
  <si>
    <t>ORD-0343</t>
  </si>
  <si>
    <t>ORD-0010</t>
  </si>
  <si>
    <t>ORD-0197</t>
  </si>
  <si>
    <t>ORD-0755</t>
  </si>
  <si>
    <t>ORD-0082</t>
  </si>
  <si>
    <t>ORD-0911</t>
  </si>
  <si>
    <t>ORD-0479</t>
  </si>
  <si>
    <t>ORD-0623</t>
  </si>
  <si>
    <t>ORD-0240</t>
  </si>
  <si>
    <t>ORD-0293</t>
  </si>
  <si>
    <t>ORD-0212</t>
  </si>
  <si>
    <t>ORD-0721</t>
  </si>
  <si>
    <t>ORD-0362</t>
  </si>
  <si>
    <t>ORD-0452</t>
  </si>
  <si>
    <t>ORD-0228</t>
  </si>
  <si>
    <t>ORD-0860</t>
  </si>
  <si>
    <t>ORD-0363</t>
  </si>
  <si>
    <t>ORD-0800</t>
  </si>
  <si>
    <t>ORD-0657</t>
  </si>
  <si>
    <t>ORD-0550</t>
  </si>
  <si>
    <t>ORD-0644</t>
  </si>
  <si>
    <t>ORD-0581</t>
  </si>
  <si>
    <t>ORD-0926</t>
  </si>
  <si>
    <t>ORD-0371</t>
  </si>
  <si>
    <t>ORD-0008</t>
  </si>
  <si>
    <t>ORD-0156</t>
  </si>
  <si>
    <t>ORD-0543</t>
  </si>
  <si>
    <t>ORD-0443</t>
  </si>
  <si>
    <t>ORD-0820</t>
  </si>
  <si>
    <t>ORD-0399</t>
  </si>
  <si>
    <t>ORD-0782</t>
  </si>
  <si>
    <t>ORD-0568</t>
  </si>
  <si>
    <t>ORD-0591</t>
  </si>
  <si>
    <t>ORD-0715</t>
  </si>
  <si>
    <t>ORD-0938</t>
  </si>
  <si>
    <t>ORD-0569</t>
  </si>
  <si>
    <t>ORD-0866</t>
  </si>
  <si>
    <t>ORD-0532</t>
  </si>
  <si>
    <t>ORD-0585</t>
  </si>
  <si>
    <t>ORD-0711</t>
  </si>
  <si>
    <t>ORD-0451</t>
  </si>
  <si>
    <t>ORD-0779</t>
  </si>
  <si>
    <t>ORD-0229</t>
  </si>
  <si>
    <t>ORD-0537</t>
  </si>
  <si>
    <t>ORD-0732</t>
  </si>
  <si>
    <t>ORD-0213</t>
  </si>
  <si>
    <t>ORD-0080</t>
  </si>
  <si>
    <t>ORD-0149</t>
  </si>
  <si>
    <t>ORD-0303</t>
  </si>
  <si>
    <t>ORD-0663</t>
  </si>
  <si>
    <t>ORD-0329</t>
  </si>
  <si>
    <t>ORD-0927</t>
  </si>
  <si>
    <t>ORD-0345</t>
  </si>
  <si>
    <t>ORD-0545</t>
  </si>
  <si>
    <t>ORD-0507</t>
  </si>
  <si>
    <t>ORD-0134</t>
  </si>
  <si>
    <t>ORD-0552</t>
  </si>
  <si>
    <t>ORD-0312</t>
  </si>
  <si>
    <t>ORD-0845</t>
  </si>
  <si>
    <t>ORD-0953</t>
  </si>
  <si>
    <t>ORD-0001</t>
  </si>
  <si>
    <t>ORD-0317</t>
  </si>
  <si>
    <t>ORD-0746</t>
  </si>
  <si>
    <t>ORD-0549</t>
  </si>
  <si>
    <t>ORD-0617</t>
  </si>
  <si>
    <t>ORD-0534</t>
  </si>
  <si>
    <t>ORD-0480</t>
  </si>
  <si>
    <t>ORD-0874</t>
  </si>
  <si>
    <t>ORD-0173</t>
  </si>
  <si>
    <t>ORD-0126</t>
  </si>
  <si>
    <t>ORD-0425</t>
  </si>
  <si>
    <t>ORD-0423</t>
  </si>
  <si>
    <t>ORD-0829</t>
  </si>
  <si>
    <t>ORD-0907</t>
  </si>
  <si>
    <t>ORD-0091</t>
  </si>
  <si>
    <t>ORD-0943</t>
  </si>
  <si>
    <t>ORD-0182</t>
  </si>
  <si>
    <t>ORD-0275</t>
  </si>
  <si>
    <t>ORD-0899</t>
  </si>
  <si>
    <t>ORD-0070</t>
  </si>
  <si>
    <t>ORD-0292</t>
  </si>
  <si>
    <t>ORD-0132</t>
  </si>
  <si>
    <t>ORD-0301</t>
  </si>
  <si>
    <t>ORD-0583</t>
  </si>
  <si>
    <t>ORD-0327</t>
  </si>
  <si>
    <t>ORD-0145</t>
  </si>
  <si>
    <t>ORD-0426</t>
  </si>
  <si>
    <t>ORD-0584</t>
  </si>
  <si>
    <t>ORD-0136</t>
  </si>
  <si>
    <t>ORD-0666</t>
  </si>
  <si>
    <t>ORD-0165</t>
  </si>
  <si>
    <t>ORD-0029</t>
  </si>
  <si>
    <t>ORD-0761</t>
  </si>
  <si>
    <t>ORD-0194</t>
  </si>
  <si>
    <t>ORD-0993</t>
  </si>
  <si>
    <t>ORD-0705</t>
  </si>
  <si>
    <t>ORD-0170</t>
  </si>
  <si>
    <t>ORD-0491</t>
  </si>
  <si>
    <t>ORD-0141</t>
  </si>
  <si>
    <t>ORD-0174</t>
  </si>
  <si>
    <t>ORD-0007</t>
  </si>
  <si>
    <t>ORD-0645</t>
  </si>
  <si>
    <t>ORD-0635</t>
  </si>
  <si>
    <t>ORD-0074</t>
  </si>
  <si>
    <t>ORD-0974</t>
  </si>
  <si>
    <t>ORD-0979</t>
  </si>
  <si>
    <t>ORD-0239</t>
  </si>
  <si>
    <t>ORD-0146</t>
  </si>
  <si>
    <t>ORD-0801</t>
  </si>
  <si>
    <t>ORD-0235</t>
  </si>
  <si>
    <t>ORD-0221</t>
  </si>
  <si>
    <t>ORD-0478</t>
  </si>
  <si>
    <t>ORD-0836</t>
  </si>
  <si>
    <t>ORD-0133</t>
  </si>
  <si>
    <t>ORD-0994</t>
  </si>
  <si>
    <t>ORD-0944</t>
  </si>
  <si>
    <t>ORD-0186</t>
  </si>
  <si>
    <t>ORD-0042</t>
  </si>
  <si>
    <t>ORD-0614</t>
  </si>
  <si>
    <t>ORD-0109</t>
  </si>
  <si>
    <t>ORD-0592</t>
  </si>
  <si>
    <t>ORD-0057</t>
  </si>
  <si>
    <t>ORD-0530</t>
  </si>
  <si>
    <t>ORD-0870</t>
  </si>
  <si>
    <t>ORD-0934</t>
  </si>
  <si>
    <t>ORD-0864</t>
  </si>
  <si>
    <t>ORD-0025</t>
  </si>
  <si>
    <t>ORD-0650</t>
  </si>
  <si>
    <t>ORD-0449</t>
  </si>
  <si>
    <t>ORD-0533</t>
  </si>
  <si>
    <t>ORD-0622</t>
  </si>
  <si>
    <t>ORD-0698</t>
  </si>
  <si>
    <t>ORD-0930</t>
  </si>
  <si>
    <t>ORD-0339</t>
  </si>
  <si>
    <t>ORD-0052</t>
  </si>
  <si>
    <t>ORD-0667</t>
  </si>
  <si>
    <t>ORD-0621</t>
  </si>
  <si>
    <t>ORD-0924</t>
  </si>
  <si>
    <t>ORD-0636</t>
  </si>
  <si>
    <t>ORD-0265</t>
  </si>
  <si>
    <t>ORD-0539</t>
  </si>
  <si>
    <t>ORD-0714</t>
  </si>
  <si>
    <t>ORD-0686</t>
  </si>
  <si>
    <t>ORD-0950</t>
  </si>
  <si>
    <t>ORD-0520</t>
  </si>
  <si>
    <t>ORD-0450</t>
  </si>
  <si>
    <t>ORD-0019</t>
  </si>
  <si>
    <t>ORD-0719</t>
  </si>
  <si>
    <t>ORD-0486</t>
  </si>
  <si>
    <t>ORD-0571</t>
  </si>
  <si>
    <t>ORD-0368</t>
  </si>
  <si>
    <t>ORD-0084</t>
  </si>
  <si>
    <t>KHI</t>
  </si>
  <si>
    <t>ORD-0062</t>
  </si>
  <si>
    <t>ORD-0440</t>
  </si>
  <si>
    <t>ORD-0273</t>
  </si>
  <si>
    <t>ORD-0286</t>
  </si>
  <si>
    <t>ORD-0361</t>
  </si>
  <si>
    <t>ORD-0355</t>
  </si>
  <si>
    <t>ORD-0990</t>
  </si>
  <si>
    <t>ORD-0279</t>
  </si>
  <si>
    <t>ORD-0013</t>
  </si>
  <si>
    <t>ORD-0183</t>
  </si>
  <si>
    <t>ORD-0369</t>
  </si>
  <si>
    <t>ORD-0495</t>
  </si>
  <si>
    <t>ORD-0619</t>
  </si>
  <si>
    <t>ORD-0224</t>
  </si>
  <si>
    <t>ORD-0576</t>
  </si>
  <si>
    <t>ORD-0912</t>
  </si>
  <si>
    <t>ORD-0867</t>
  </si>
  <si>
    <t>ORD-0632</t>
  </si>
  <si>
    <t>ORD-0586</t>
  </si>
  <si>
    <t>ORD-0612</t>
  </si>
  <si>
    <t>ORD-0177</t>
  </si>
  <si>
    <t>ORD-0669</t>
  </si>
  <si>
    <t>ORD-0631</t>
  </si>
  <si>
    <t>ORD-0589</t>
  </si>
  <si>
    <t>ORD-0522</t>
  </si>
  <si>
    <t>ORD-0394</t>
  </si>
  <si>
    <t>ORD-0164</t>
  </si>
  <si>
    <t>ORD-0249</t>
  </si>
  <si>
    <t>ORD-0742</t>
  </si>
  <si>
    <t>ORD-0889</t>
  </si>
  <si>
    <t>ORD-0775</t>
  </si>
  <si>
    <t>ORD-0376</t>
  </si>
  <si>
    <t>ORD-0413</t>
  </si>
  <si>
    <t>ORD-0075</t>
  </si>
  <si>
    <t>ORD-0114</t>
  </si>
  <si>
    <t>ORD-0695</t>
  </si>
  <si>
    <t>ORD-0922</t>
  </si>
  <si>
    <t>ORD-0391</t>
  </si>
  <si>
    <t>ORD-0105</t>
  </si>
  <si>
    <t>ORD-0115</t>
  </si>
  <si>
    <t>ORD-0418</t>
  </si>
  <si>
    <t>ORD-0712</t>
  </si>
  <si>
    <t>ORD-0458</t>
  </si>
  <si>
    <t>ORD-0410</t>
  </si>
  <si>
    <t>ORD-0093</t>
  </si>
  <si>
    <t>ORD-0603</t>
  </si>
  <si>
    <t>ORD-0090</t>
  </si>
  <si>
    <t>ORD-0337</t>
  </si>
  <si>
    <t>ORD-0992</t>
  </si>
  <si>
    <t>ORD-0925</t>
  </si>
  <si>
    <t>ORD-0937</t>
  </si>
  <si>
    <t>ORD-0637</t>
  </si>
  <si>
    <t>ORD-0597</t>
  </si>
  <si>
    <t>ORD-0995</t>
  </si>
  <si>
    <t>ORD-0095</t>
  </si>
  <si>
    <t>ORD-0012</t>
  </si>
  <si>
    <t>ORD-0397</t>
  </si>
  <si>
    <t>ORD-0535</t>
  </si>
  <si>
    <t>ORD-0044</t>
  </si>
  <si>
    <t>ORD-0043</t>
  </si>
  <si>
    <t>ORD-0330</t>
  </si>
  <si>
    <t>ORD-0168</t>
  </si>
  <si>
    <t>ORD-0500</t>
  </si>
  <si>
    <t>ORD-0880</t>
  </si>
  <si>
    <t>ORD-0940</t>
  </si>
  <si>
    <t>ORD-0760</t>
  </si>
  <si>
    <t>ORD-0101</t>
  </si>
  <si>
    <t>ORD-0427</t>
  </si>
  <si>
    <t>ORD-0179</t>
  </si>
  <si>
    <t>ORD-0445</t>
  </si>
  <si>
    <t>ORD-0417</t>
  </si>
  <si>
    <t>ORD-0651</t>
  </si>
  <si>
    <t xml:space="preserve">Laptop </t>
  </si>
  <si>
    <t>ORD-0886</t>
  </si>
  <si>
    <t>ORD-0983</t>
  </si>
  <si>
    <t>ORD-0178</t>
  </si>
  <si>
    <t>ORD-0396</t>
  </si>
  <si>
    <t>ORD-0680</t>
  </si>
  <si>
    <t>ORD-0797</t>
  </si>
  <si>
    <t>ORD-0964</t>
  </si>
  <si>
    <t>ORD-0688</t>
  </si>
  <si>
    <t>ORD-0384</t>
  </si>
  <si>
    <t>ORD-0960</t>
  </si>
  <si>
    <t>ORD-0616</t>
  </si>
  <si>
    <t>ORD-0258</t>
  </si>
  <si>
    <t>ORD-0336</t>
  </si>
  <si>
    <t>ORD-0016</t>
  </si>
  <si>
    <t>ORD-0325</t>
  </si>
  <si>
    <t>ORD-0762</t>
  </si>
  <si>
    <t>ORD-0223</t>
  </si>
  <si>
    <t>ORD-0180</t>
  </si>
  <si>
    <t>ORD-0987</t>
  </si>
  <si>
    <t>ORD-0023</t>
  </si>
  <si>
    <t>ORD-0357</t>
  </si>
  <si>
    <t>ORD-0670</t>
  </si>
  <si>
    <t>ORD-0865</t>
  </si>
  <si>
    <t>ORD-0341</t>
  </si>
  <si>
    <t>ORD-0432</t>
  </si>
  <si>
    <t>ORD-0553</t>
  </si>
  <si>
    <t>ORD-0837</t>
  </si>
  <si>
    <t>ORD-0204</t>
  </si>
  <si>
    <t>ORD-0634</t>
  </si>
  <si>
    <t>ORD-0094</t>
  </si>
  <si>
    <t>ORD-0560</t>
  </si>
  <si>
    <t>ORD-0069</t>
  </si>
  <si>
    <t>ORD-0626</t>
  </si>
  <si>
    <t>ORD-0285</t>
  </si>
  <si>
    <t>ORD-0808</t>
  </si>
  <si>
    <t>ORD-0435</t>
  </si>
  <si>
    <t>ORD-0154</t>
  </si>
  <si>
    <t>ORD-0076</t>
  </si>
  <si>
    <t>ORD-0821</t>
  </si>
  <si>
    <t>ORD-0447</t>
  </si>
  <si>
    <t>ORD-0189</t>
  </si>
  <si>
    <t>ORD-0272</t>
  </si>
  <si>
    <t>ORD-0237</t>
  </si>
  <si>
    <t>ORD-0488</t>
  </si>
  <si>
    <t>ORD-0118</t>
  </si>
  <si>
    <t>ORD-0914</t>
  </si>
  <si>
    <t>ORD-0513</t>
  </si>
  <si>
    <t>ORD-0555</t>
  </si>
  <si>
    <t>ORD-0595</t>
  </si>
  <si>
    <t>ORD-0127</t>
  </si>
  <si>
    <t>ORD-0117</t>
  </si>
  <si>
    <t>ORD-0474</t>
  </si>
  <si>
    <t>ORD-0697</t>
  </si>
  <si>
    <t>ORD-0058</t>
  </si>
  <si>
    <t>ORD-0678</t>
  </si>
  <si>
    <t>ORD-0916</t>
  </si>
  <si>
    <t>ORD-0370</t>
  </si>
  <si>
    <t>ORD-0269</t>
  </si>
  <si>
    <t>ORD-0047</t>
  </si>
  <si>
    <t>ORD-0350</t>
  </si>
  <si>
    <t>ORD-0196</t>
  </si>
  <si>
    <t>ORD-0838</t>
  </si>
  <si>
    <t>ORD-0740</t>
  </si>
  <si>
    <t>ORD-0264</t>
  </si>
  <si>
    <t>ORD-0444</t>
  </si>
  <si>
    <t>ORD-0679</t>
  </si>
  <si>
    <t>ORD-0305</t>
  </si>
  <si>
    <t>ORD-0342</t>
  </si>
  <si>
    <t>ORD-0602</t>
  </si>
  <si>
    <t>ORD-0970</t>
  </si>
  <si>
    <t>ORD-0150</t>
  </si>
  <si>
    <t>ORD-0125</t>
  </si>
  <si>
    <t>ORD-0790</t>
  </si>
  <si>
    <t>ORD-0826</t>
  </si>
  <si>
    <t>ORD-0051</t>
  </si>
  <si>
    <t>ORD-0354</t>
  </si>
  <si>
    <t>ORD-0931</t>
  </si>
  <si>
    <t>ORD-0143</t>
  </si>
  <si>
    <t>LHR</t>
  </si>
  <si>
    <t>ORD-0471</t>
  </si>
  <si>
    <t>ORD-0400</t>
  </si>
  <si>
    <t>ORD-0629</t>
  </si>
  <si>
    <t>ORD-0321</t>
  </si>
  <si>
    <t>ORD-0020</t>
  </si>
  <si>
    <t>ORD-0881</t>
  </si>
  <si>
    <t>ORD-0794</t>
  </si>
  <si>
    <t>ORD-0812</t>
  </si>
  <si>
    <t>ORD-0408</t>
  </si>
  <si>
    <t>ORD-0538</t>
  </si>
  <si>
    <t>ORD-0696</t>
  </si>
  <si>
    <t>ORD-0039</t>
  </si>
  <si>
    <t>ORD-0176</t>
  </si>
  <si>
    <t>ORD-0246</t>
  </si>
  <si>
    <t>ORD-0951</t>
  </si>
  <si>
    <t>ORD-0671</t>
  </si>
  <si>
    <t>ORD-0758</t>
  </si>
  <si>
    <t>ORD-0862</t>
  </si>
  <si>
    <t>ORD-0155</t>
  </si>
  <si>
    <t>ORD-0288</t>
  </si>
  <si>
    <t>ORD-0606</t>
  </si>
  <si>
    <t>ORD-0570</t>
  </si>
  <si>
    <t>ORD-0747</t>
  </si>
  <si>
    <t>ORD-0018</t>
  </si>
  <si>
    <t xml:space="preserve">  Hassan Shah  </t>
  </si>
  <si>
    <t>ORD-0128</t>
  </si>
  <si>
    <t>ORD-0323</t>
  </si>
  <si>
    <t>ORD-0256</t>
  </si>
  <si>
    <t>ORD-0661</t>
  </si>
  <si>
    <t>ORD-0968</t>
  </si>
  <si>
    <t>ORD-0191</t>
  </si>
  <si>
    <t>ORD-0116</t>
  </si>
  <si>
    <t>ORD-0799</t>
  </si>
  <si>
    <t>ORD-0607</t>
  </si>
  <si>
    <t>ORD-0181</t>
  </si>
  <si>
    <t>ORD-0302</t>
  </si>
  <si>
    <t>ORD-0763</t>
  </si>
  <si>
    <t>ORD-0716</t>
  </si>
  <si>
    <t>ORD-0900</t>
  </si>
  <si>
    <t>ORD-0689</t>
  </si>
  <si>
    <t>ORD-0665</t>
  </si>
  <si>
    <t>ORD-0518</t>
  </si>
  <si>
    <t>ORD-0988</t>
  </si>
  <si>
    <t>ORD-0046</t>
  </si>
  <si>
    <t>ORD-0913</t>
  </si>
  <si>
    <t>ORD-0158</t>
  </si>
  <si>
    <t>ORD-0967</t>
  </si>
  <si>
    <t>ORD-0172</t>
  </si>
  <si>
    <t>ORD-0017</t>
  </si>
  <si>
    <t>ORD-0512</t>
  </si>
  <si>
    <t>ORD-0049</t>
  </si>
  <si>
    <t>ORD-0975</t>
  </si>
  <si>
    <t>ORD-0844</t>
  </si>
  <si>
    <t>ORD-0516</t>
  </si>
  <si>
    <t>ORD-0690</t>
  </si>
  <si>
    <t>ORD-0481</t>
  </si>
  <si>
    <t>ORD-0284</t>
  </si>
  <si>
    <t>ORD-0722</t>
  </si>
  <si>
    <t>ORD-0658</t>
  </si>
  <si>
    <t>ORD-0226</t>
  </si>
  <si>
    <t>ORD-0027</t>
  </si>
  <si>
    <t>ORD-0786</t>
  </si>
  <si>
    <t>ORD-0438</t>
  </si>
  <si>
    <t>ORD-0955</t>
  </si>
  <si>
    <t>ORD-0365</t>
  </si>
  <si>
    <t>ORD-0230</t>
  </si>
  <si>
    <t>ORD-0038</t>
  </si>
  <si>
    <t>ORD-0969</t>
  </si>
  <si>
    <t>ORD-0375</t>
  </si>
  <si>
    <t>ORD-0470</t>
  </si>
  <si>
    <t>ORD-0971</t>
  </si>
  <si>
    <t>ORD-0854</t>
  </si>
  <si>
    <t>ORD-0708</t>
  </si>
  <si>
    <t>ORD-0729</t>
  </si>
  <si>
    <t>ORD-0195</t>
  </si>
  <si>
    <t>ORD-0858</t>
  </si>
  <si>
    <t>ORD-0868</t>
  </si>
  <si>
    <t>ORD-0504</t>
  </si>
  <si>
    <t>ORD-0973</t>
  </si>
  <si>
    <t>ORD-0834</t>
  </si>
  <si>
    <t>ORD-0580</t>
  </si>
  <si>
    <t>ORD-0972</t>
  </si>
  <si>
    <t>ORD-0163</t>
  </si>
  <si>
    <t>ORD-0706</t>
  </si>
  <si>
    <t>ORD-0153</t>
  </si>
  <si>
    <t>ORD-0685</t>
  </si>
  <si>
    <t>ORD-0704</t>
  </si>
  <si>
    <t>ORD-0759</t>
  </si>
  <si>
    <t>ORD-0112</t>
  </si>
  <si>
    <t>ORD-0227</t>
  </si>
  <si>
    <t>ORD-0765</t>
  </si>
  <si>
    <t>ORD-0104</t>
  </si>
  <si>
    <t>ORD-0422</t>
  </si>
  <si>
    <t>ORD-0420</t>
  </si>
  <si>
    <t>ORD-0754</t>
  </si>
  <si>
    <t>ORD-0587</t>
  </si>
  <si>
    <t>ORD-0784</t>
  </si>
  <si>
    <t>ORD-0673</t>
  </si>
  <si>
    <t>ORD-0120</t>
  </si>
  <si>
    <t>ORD-0054</t>
  </si>
  <si>
    <t>ORD-0152</t>
  </si>
  <si>
    <t>ORD-0404</t>
  </si>
  <si>
    <t>ORD-0949</t>
  </si>
  <si>
    <t>ORD-0208</t>
  </si>
  <si>
    <t>ORD-0659</t>
  </si>
  <si>
    <t>ORD-0847</t>
  </si>
  <si>
    <t>ORD-0766</t>
  </si>
  <si>
    <t>ORD-0009</t>
  </si>
  <si>
    <t>ORD-0811</t>
  </si>
  <si>
    <t>ORD-0037</t>
  </si>
  <si>
    <t>ORD-0453</t>
  </si>
  <si>
    <t>ORD-0652</t>
  </si>
  <si>
    <t>ORD-0254</t>
  </si>
  <si>
    <t>ORD-0304</t>
  </si>
  <si>
    <t>ORD-0750</t>
  </si>
  <si>
    <t>ORD-0572</t>
  </si>
  <si>
    <t>ORD-0624</t>
  </si>
  <si>
    <t>ORD-0713</t>
  </si>
  <si>
    <t>ORD-0723</t>
  </si>
  <si>
    <t>ORD-0263</t>
  </si>
  <si>
    <t>ORD-0611</t>
  </si>
  <si>
    <t>ORD-0298</t>
  </si>
  <si>
    <t>ORD-0415</t>
  </si>
  <si>
    <t>ORD-0151</t>
  </si>
  <si>
    <t>ORD-0890</t>
  </si>
  <si>
    <t>ORD-0641</t>
  </si>
  <si>
    <t>ORD-0893</t>
  </si>
  <si>
    <t>ORD-0551</t>
  </si>
  <si>
    <t>ORD-0833</t>
  </si>
  <si>
    <t>ORD-0489</t>
  </si>
  <si>
    <t>ORD-0148</t>
  </si>
  <si>
    <t>ORD-0147</t>
  </si>
  <si>
    <t>ORD-0724</t>
  </si>
  <si>
    <t>ORD-0935</t>
  </si>
  <si>
    <t>ORD-0825</t>
  </si>
  <si>
    <t>ORD-0660</t>
  </si>
  <si>
    <t>ORD-0349</t>
  </si>
  <si>
    <t>ORD-0464</t>
  </si>
  <si>
    <t>ORD-0326</t>
  </si>
  <si>
    <t>ORD-0187</t>
  </si>
  <si>
    <t>ORD-0124</t>
  </si>
  <si>
    <t>ORD-0892</t>
  </si>
  <si>
    <t>ORD-0609</t>
  </si>
  <si>
    <t>ORD-0144</t>
  </si>
  <si>
    <t>ORD-0962</t>
  </si>
  <si>
    <t>ORD-0198</t>
  </si>
  <si>
    <t>ORD-0610</t>
  </si>
  <si>
    <t>ORD-0280</t>
  </si>
  <si>
    <t>ORD-0294</t>
  </si>
  <si>
    <t>ORD-0401</t>
  </si>
  <si>
    <t>ORD-0123</t>
  </si>
  <si>
    <t>ORD-0184</t>
  </si>
  <si>
    <t>ORD-0203</t>
  </si>
  <si>
    <t>ORD-0439</t>
  </si>
  <si>
    <t>ORD-0247</t>
  </si>
  <si>
    <t>ORD-0416</t>
  </si>
  <si>
    <t>ORD-0855</t>
  </si>
  <si>
    <t>ORD-0878</t>
  </si>
  <si>
    <t>ORD-0910</t>
  </si>
  <si>
    <t>ORD-0915</t>
  </si>
  <si>
    <t>ORD-0891</t>
  </si>
  <si>
    <t>ORD-0130</t>
  </si>
  <si>
    <t>ORD-0638</t>
  </si>
  <si>
    <t>ORD-0403</t>
  </si>
  <si>
    <t>ORD-0788</t>
  </si>
  <si>
    <t>ORD-0774</t>
  </si>
  <si>
    <t>ORD-0736</t>
  </si>
  <si>
    <t>ORD-0917</t>
  </si>
  <si>
    <t>ORD-0220</t>
  </si>
  <si>
    <t>ORD-0642</t>
  </si>
  <si>
    <t>ORD-0919</t>
  </si>
  <si>
    <t>ORD-0756</t>
  </si>
  <si>
    <t>ORD-0810</t>
  </si>
  <si>
    <t>ORD-0923</t>
  </si>
  <si>
    <t>ORD-0625</t>
  </si>
  <si>
    <t>ORD-0842</t>
  </si>
  <si>
    <t>ORD-0888</t>
  </si>
  <si>
    <t>ORD-0387</t>
  </si>
  <si>
    <t>ORD-0976</t>
  </si>
  <si>
    <t>ORD-0510</t>
  </si>
  <si>
    <t>ORD-0268</t>
  </si>
  <si>
    <t>ORD-0823</t>
  </si>
  <si>
    <t>ORD-0442</t>
  </si>
  <si>
    <t>ORD-0497</t>
  </si>
  <si>
    <t>ORD-0113</t>
  </si>
  <si>
    <t>ORD-0692</t>
  </si>
  <si>
    <t>ORD-0233</t>
  </si>
  <si>
    <t>ORD-0873</t>
  </si>
  <si>
    <t>ORD-0608</t>
  </si>
  <si>
    <t>ORD-0672</t>
  </si>
  <si>
    <t>ORD-0374</t>
  </si>
  <si>
    <t>ORD-0985</t>
  </si>
  <si>
    <t>ORD-0846</t>
  </si>
  <si>
    <t>ORD-0234</t>
  </si>
  <si>
    <t>ORD-0789</t>
  </si>
  <si>
    <t>ORD-0677</t>
  </si>
  <si>
    <t>ORD-0318</t>
  </si>
  <si>
    <t>ORD-0649</t>
  </si>
  <si>
    <t>ORD-0411</t>
  </si>
  <si>
    <t>ORD-0902</t>
  </si>
  <si>
    <t>ORD-0710</t>
  </si>
  <si>
    <t>ORD-0359</t>
  </si>
  <si>
    <t>ORD-0259</t>
  </si>
  <si>
    <t>ORD-0745</t>
  </si>
  <si>
    <t>ORD-0628</t>
  </si>
  <si>
    <t>ORD-0633</t>
  </si>
  <si>
    <t>ORD-0283</t>
  </si>
  <si>
    <t>ORD-0377</t>
  </si>
  <si>
    <t>ORD-0385</t>
  </si>
  <si>
    <t>ORD-0225</t>
  </si>
  <si>
    <t>ORD-0957</t>
  </si>
  <si>
    <t>ORD-0818</t>
  </si>
  <si>
    <t>ORD-0473</t>
  </si>
  <si>
    <t>ORD-0348</t>
  </si>
  <si>
    <t>ORD-0506</t>
  </si>
  <si>
    <t>ORD-0640</t>
  </si>
  <si>
    <t>ORD-0991</t>
  </si>
  <si>
    <t>ORD-0932</t>
  </si>
  <si>
    <t>ORD-0909</t>
  </si>
  <si>
    <t>ORD-0620</t>
  </si>
  <si>
    <t>ORD-0859</t>
  </si>
  <si>
    <t>ORD-0807</t>
  </si>
  <si>
    <t>ORD-0646</t>
  </si>
  <si>
    <t>ORD-0850</t>
  </si>
  <si>
    <t>ORD-0557</t>
  </si>
  <si>
    <t>ORD-0961</t>
  </si>
  <si>
    <t>ORD-0578</t>
  </si>
  <si>
    <t>ORD-0796</t>
  </si>
  <si>
    <t>ORD-0086</t>
  </si>
  <si>
    <t>ORD-0243</t>
  </si>
  <si>
    <t>ORD-0699</t>
  </si>
  <si>
    <t>ORD-0160</t>
  </si>
  <si>
    <t>ORD-0525</t>
  </si>
  <si>
    <t>ORD-0036</t>
  </si>
  <si>
    <t>ORD-0541</t>
  </si>
  <si>
    <t>ORD-0171</t>
  </si>
  <si>
    <t>ORD-0655</t>
  </si>
  <si>
    <t>ORD-0894</t>
  </si>
  <si>
    <t>ORD-0851</t>
  </si>
  <si>
    <t>ORD-0948</t>
  </si>
  <si>
    <t>ORD-0734</t>
  </si>
  <si>
    <t>ORD-0096</t>
  </si>
  <si>
    <t>ORD-0564</t>
  </si>
  <si>
    <t>ORD-0241</t>
  </si>
  <si>
    <t>ORD-0743</t>
  </si>
  <si>
    <t>ORD-0575</t>
  </si>
  <si>
    <t>ORD-0691</t>
  </si>
  <si>
    <t>ORD-0461</t>
  </si>
  <si>
    <t>ORD-0554</t>
  </si>
  <si>
    <t>ORD-0882</t>
  </si>
  <si>
    <t>ORD-0207</t>
  </si>
  <si>
    <t>ORD-0393</t>
  </si>
  <si>
    <t>ORD-0795</t>
  </si>
  <si>
    <t>ORD-0398</t>
  </si>
  <si>
    <t>ORD-0767</t>
  </si>
  <si>
    <t>ORD-0852</t>
  </si>
  <si>
    <t>ORD-0218</t>
  </si>
  <si>
    <t>ORD-0005</t>
  </si>
  <si>
    <t>ORD-0769</t>
  </si>
  <si>
    <t>ORD-0643</t>
  </si>
  <si>
    <t>ORD-0901</t>
  </si>
  <si>
    <t>ORD-0613</t>
  </si>
  <si>
    <t>ORD-0739</t>
  </si>
  <si>
    <t>ORD-0547</t>
  </si>
  <si>
    <t>ORD-0726</t>
  </si>
  <si>
    <t>ORD-0684</t>
  </si>
  <si>
    <t>ORD-0099</t>
  </si>
  <si>
    <t>ORD-0805</t>
  </si>
  <si>
    <t>ORD-0728</t>
  </si>
  <si>
    <t>ORD-0574</t>
  </si>
  <si>
    <t>ORD-0407</t>
  </si>
  <si>
    <t>ORD-0503</t>
  </si>
  <si>
    <t>ORD-0048</t>
  </si>
  <si>
    <t>ORD-0033</t>
  </si>
  <si>
    <t>ORD-0780</t>
  </si>
  <si>
    <t>ORD-0840</t>
  </si>
  <si>
    <t>ORD-0201</t>
  </si>
  <si>
    <t>ORD-0135</t>
  </si>
  <si>
    <t>ORD-0028</t>
  </si>
  <si>
    <t>ORD-0884</t>
  </si>
  <si>
    <t>ORD-0231</t>
  </si>
  <si>
    <t>ORD-0490</t>
  </si>
  <si>
    <t>ORD-0773</t>
  </si>
  <si>
    <t>ORD-0379</t>
  </si>
  <si>
    <t>ORD-0289</t>
  </si>
  <si>
    <t>ORD-0419</t>
  </si>
  <si>
    <t>ORD-0675</t>
  </si>
  <si>
    <t>ORD-0392</t>
  </si>
  <si>
    <t>ORD-0593</t>
  </si>
  <si>
    <t>ORD-0499</t>
  </si>
  <si>
    <t>ORD-0139</t>
  </si>
  <si>
    <t>ORD-0063</t>
  </si>
  <si>
    <t>ORD-0472</t>
  </si>
  <si>
    <t>ORD-0648</t>
  </si>
  <si>
    <t>ORD-0129</t>
  </si>
  <si>
    <t>ORD-0980</t>
  </si>
  <si>
    <t>ORD-0521</t>
  </si>
  <si>
    <t>ORD-0839</t>
  </si>
  <si>
    <t>ORD-0966</t>
  </si>
  <si>
    <t>ORD-0065</t>
  </si>
  <si>
    <t>ORD-0813</t>
  </si>
  <si>
    <t>ORD-0015</t>
  </si>
  <si>
    <t>ORD-0157</t>
  </si>
  <si>
    <t>ORD-0041</t>
  </si>
  <si>
    <t>ORD-0493</t>
  </si>
  <si>
    <t>ORD-0380</t>
  </si>
  <si>
    <t>ORD-0188</t>
  </si>
  <si>
    <t>ORD-0764</t>
  </si>
  <si>
    <t>ORD-0217</t>
  </si>
  <si>
    <t>ORD-0792</t>
  </si>
  <si>
    <t>ORD-0053</t>
  </si>
  <si>
    <t>ORD-0879</t>
  </si>
  <si>
    <t>ORD-0338</t>
  </si>
  <si>
    <t>ORD-0749</t>
  </si>
  <si>
    <t>ORD-0720</t>
  </si>
  <si>
    <t>ORD-0725</t>
  </si>
  <si>
    <t>ORD-0296</t>
  </si>
  <si>
    <t>ORD-0702</t>
  </si>
  <si>
    <t>ORD-0252</t>
  </si>
  <si>
    <t>ORD-0727</t>
  </si>
  <si>
    <t>ORD-0462</t>
  </si>
  <si>
    <t>ORD-0456</t>
  </si>
  <si>
    <t>ORD-1000</t>
  </si>
  <si>
    <t>ORD-0816</t>
  </si>
  <si>
    <t>ORD-0863</t>
  </si>
  <si>
    <t>ORD-0270</t>
  </si>
  <si>
    <t>ORD-0202</t>
  </si>
  <si>
    <t>ORD-0162</t>
  </si>
  <si>
    <t>ORD-0556</t>
  </si>
  <si>
    <t>ORD-0730</t>
  </si>
  <si>
    <t>ORD-0402</t>
  </si>
  <si>
    <t>ORD-0703</t>
  </si>
  <si>
    <t>ORD-0477</t>
  </si>
  <si>
    <t>ORD-0822</t>
  </si>
  <si>
    <t>ORD-0772</t>
  </si>
  <si>
    <t>ORD-0106</t>
  </si>
  <si>
    <t>ORD-0566</t>
  </si>
  <si>
    <t>ORD-0390</t>
  </si>
  <si>
    <t>ORD-0002</t>
  </si>
  <si>
    <t>ORD-0941</t>
  </si>
  <si>
    <t>ORD-0986</t>
  </si>
  <si>
    <t>ORD-0562</t>
  </si>
  <si>
    <t>ORD-0081</t>
  </si>
  <si>
    <t>ORD-0206</t>
  </si>
  <si>
    <t>ORD-0035</t>
  </si>
  <si>
    <t>ORD-0776</t>
  </si>
  <si>
    <t>ORD-0509</t>
  </si>
  <si>
    <t>ORD-0428</t>
  </si>
  <si>
    <t>ORD-0455</t>
  </si>
  <si>
    <t>ORD-0367</t>
  </si>
  <si>
    <t>ORD-0092</t>
  </si>
  <si>
    <t>ORD-0340</t>
  </si>
  <si>
    <t>ORD-0898</t>
  </si>
  <si>
    <t>ORD-0565</t>
  </si>
  <si>
    <t>ORD-0346</t>
  </si>
  <si>
    <t>ORD-0777</t>
  </si>
  <si>
    <t>ORD-0242</t>
  </si>
  <si>
    <t>ORD-0014</t>
  </si>
  <si>
    <t>ORD-0316</t>
  </si>
  <si>
    <t>ORD-0601</t>
  </si>
  <si>
    <t>ORD-0388</t>
  </si>
  <si>
    <t>ORD-0274</t>
  </si>
  <si>
    <t>ORD-0167</t>
  </si>
  <si>
    <t>ORD-0841</t>
  </si>
  <si>
    <t>ORD-0996</t>
  </si>
  <si>
    <t>ORD-0647</t>
  </si>
  <si>
    <t>ORD-0819</t>
  </si>
  <si>
    <t>ORD-0485</t>
  </si>
  <si>
    <t>ORD-0984</t>
  </si>
  <si>
    <t>ORD-0505</t>
  </si>
  <si>
    <t>ORD-0832</t>
  </si>
  <si>
    <t>ORD-0244</t>
  </si>
  <si>
    <t>ORD-0567</t>
  </si>
  <si>
    <t>ORD-0876</t>
  </si>
  <si>
    <t>ORD-0563</t>
  </si>
  <si>
    <t>ORD-0687</t>
  </si>
  <si>
    <t>ORD-0190</t>
  </si>
  <si>
    <t>ORD-0783</t>
  </si>
  <si>
    <t>ORD-0700</t>
  </si>
  <si>
    <t>ORD-0476</t>
  </si>
  <si>
    <t>ORD-0682</t>
  </si>
  <si>
    <t>ORD-0511</t>
  </si>
  <si>
    <t>ORD-0059</t>
  </si>
  <si>
    <t>ORD-0475</t>
  </si>
  <si>
    <t>ORD-0561</t>
  </si>
  <si>
    <t>ORD-0857</t>
  </si>
  <si>
    <t>ORD-0748</t>
  </si>
  <si>
    <t>ORD-0253</t>
  </si>
  <si>
    <t>ORD-0022</t>
  </si>
  <si>
    <t>ORD-0314</t>
  </si>
  <si>
    <t>ORD-0460</t>
  </si>
  <si>
    <t>ORD-0161</t>
  </si>
  <si>
    <t>ORD-0277</t>
  </si>
  <si>
    <t>ORD-0956</t>
  </si>
  <si>
    <t>ORD-0192</t>
  </si>
  <si>
    <t>ORD-0386</t>
  </si>
  <si>
    <t>ORD-0806</t>
  </si>
  <si>
    <t>ORD-0414</t>
  </si>
  <si>
    <t>ORD-0492</t>
  </si>
  <si>
    <t>ORD-0344</t>
  </si>
  <si>
    <t>ORD-0770</t>
  </si>
  <si>
    <t>ORD-0309</t>
  </si>
  <si>
    <t>ORD-0662</t>
  </si>
  <si>
    <t>ORD-0131</t>
  </si>
  <si>
    <t>ORD-0664</t>
  </si>
  <si>
    <t>ORD-0872</t>
  </si>
  <si>
    <t>ORD-0100</t>
  </si>
  <si>
    <t>ORD-0373</t>
  </si>
  <si>
    <t>ORD-0088</t>
  </si>
  <si>
    <t>ORD-0459</t>
  </si>
  <si>
    <t>ORD-0331</t>
  </si>
  <si>
    <t>ORD-0215</t>
  </si>
  <si>
    <t>ORD-0467</t>
  </si>
  <si>
    <t>ORD-0122</t>
  </si>
  <si>
    <t>ORD-0615</t>
  </si>
  <si>
    <t>ORD-0021</t>
  </si>
  <si>
    <t>ORD-0701</t>
  </si>
  <si>
    <t>ORD-0072</t>
  </si>
  <si>
    <t>ORD-0107</t>
  </si>
  <si>
    <t>ORD-0271</t>
  </si>
  <si>
    <t>ORD-0861</t>
  </si>
  <si>
    <t>ORD-0436</t>
  </si>
  <si>
    <t>ORD-0103</t>
  </si>
  <si>
    <t>office Equipment</t>
  </si>
  <si>
    <t>unknown customer</t>
  </si>
  <si>
    <t>Total Sales</t>
  </si>
  <si>
    <t>Total Orders</t>
  </si>
  <si>
    <t>Total Quantity</t>
  </si>
  <si>
    <t>Average Order Value</t>
  </si>
  <si>
    <t>Row Labels</t>
  </si>
  <si>
    <t>Grand Total</t>
  </si>
  <si>
    <t>Sum of Sales</t>
  </si>
  <si>
    <t>Jan</t>
  </si>
  <si>
    <t>Feb</t>
  </si>
  <si>
    <t>Mar</t>
  </si>
  <si>
    <t>Apr</t>
  </si>
  <si>
    <t>May</t>
  </si>
  <si>
    <t>Jun</t>
  </si>
  <si>
    <t>Jul</t>
  </si>
  <si>
    <t>SALES &amp; CUSTOMER ANALYTICS DASHBOARD</t>
  </si>
  <si>
    <t>Average Order Value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</si>
</sst>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s&quot;* #,##0.00_-;\-&quot;Rs&quot;* #,##0.00_-;_-&quot;Rs&quot;* &quot;-&quot;??_-;_-@_-"/>
    <numFmt numFmtId="43" formatCode="_-* #,##0.00_-;\-* #,##0.00_-;_-* &quot;-&quot;??_-;_-@_-"/>
    <numFmt numFmtId="164" formatCode="yyyy\-mm\-dd\ hh:mm:ss"/>
  </numFmts>
  <fonts count="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164" fontId="0" fillId="0" borderId="0" xfId="0" applyNumberFormat="1"/>
    <xf numFmtId="0" fontId="1" fillId="0" borderId="2" xfId="0" applyFont="1" applyBorder="1" applyAlignment="1">
      <alignment horizontal="center" vertical="top"/>
    </xf>
    <xf numFmtId="0" fontId="0" fillId="0" borderId="0" xfId="0" applyNumberFormat="1"/>
    <xf numFmtId="14" fontId="0" fillId="0" borderId="0" xfId="0" applyNumberFormat="1"/>
    <xf numFmtId="0" fontId="0" fillId="0" borderId="0" xfId="0" applyAlignment="1">
      <alignment horizontal="center"/>
    </xf>
    <xf numFmtId="44" fontId="0" fillId="0" borderId="0" xfId="0" applyNumberFormat="1" applyAlignment="1">
      <alignment horizontal="center"/>
    </xf>
    <xf numFmtId="0" fontId="0" fillId="0" borderId="0" xfId="0" pivotButton="1"/>
    <xf numFmtId="0" fontId="0" fillId="0" borderId="0" xfId="0" applyAlignment="1">
      <alignment horizontal="left"/>
    </xf>
    <xf numFmtId="0" fontId="4" fillId="0" borderId="0" xfId="0" applyFont="1" applyAlignment="1"/>
    <xf numFmtId="0" fontId="3" fillId="0" borderId="1" xfId="0" applyFont="1" applyBorder="1"/>
    <xf numFmtId="0" fontId="0" fillId="0" borderId="1" xfId="0" applyBorder="1"/>
    <xf numFmtId="0" fontId="3" fillId="0" borderId="1" xfId="0" applyFont="1" applyBorder="1" applyAlignment="1">
      <alignment horizontal="center"/>
    </xf>
    <xf numFmtId="43" fontId="3" fillId="0" borderId="1" xfId="1" applyFont="1" applyBorder="1"/>
    <xf numFmtId="43" fontId="3" fillId="0" borderId="1" xfId="1" applyFont="1" applyBorder="1" applyAlignment="1">
      <alignment horizontal="center"/>
    </xf>
  </cellXfs>
  <cellStyles count="2">
    <cellStyle name="Comma" xfId="1" builtinId="3"/>
    <cellStyle name="Normal" xfId="0" builtinId="0"/>
  </cellStyles>
  <dxfs count="8">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Total</c:v>
                </c:pt>
              </c:strCache>
            </c:strRef>
          </c:tx>
          <c:spPr>
            <a:solidFill>
              <a:schemeClr val="accent1"/>
            </a:solidFill>
            <a:ln>
              <a:noFill/>
            </a:ln>
            <a:effectLst/>
          </c:spPr>
          <c:invertIfNegative val="0"/>
          <c:cat>
            <c:strRef>
              <c:f>Sales!$A$4:$A$11</c:f>
              <c:strCache>
                <c:ptCount val="7"/>
                <c:pt idx="0">
                  <c:v>Jan</c:v>
                </c:pt>
                <c:pt idx="1">
                  <c:v>Feb</c:v>
                </c:pt>
                <c:pt idx="2">
                  <c:v>Mar</c:v>
                </c:pt>
                <c:pt idx="3">
                  <c:v>Apr</c:v>
                </c:pt>
                <c:pt idx="4">
                  <c:v>May</c:v>
                </c:pt>
                <c:pt idx="5">
                  <c:v>Jun</c:v>
                </c:pt>
                <c:pt idx="6">
                  <c:v>Jul</c:v>
                </c:pt>
              </c:strCache>
            </c:strRef>
          </c:cat>
          <c:val>
            <c:numRef>
              <c:f>Sales!$B$4:$B$11</c:f>
              <c:numCache>
                <c:formatCode>General</c:formatCode>
                <c:ptCount val="7"/>
                <c:pt idx="0">
                  <c:v>16154500</c:v>
                </c:pt>
                <c:pt idx="1">
                  <c:v>16172300</c:v>
                </c:pt>
                <c:pt idx="2">
                  <c:v>19777600</c:v>
                </c:pt>
                <c:pt idx="3">
                  <c:v>20407200</c:v>
                </c:pt>
                <c:pt idx="4">
                  <c:v>21700000</c:v>
                </c:pt>
                <c:pt idx="5">
                  <c:v>22364400</c:v>
                </c:pt>
                <c:pt idx="6">
                  <c:v>424400</c:v>
                </c:pt>
              </c:numCache>
            </c:numRef>
          </c:val>
          <c:extLst>
            <c:ext xmlns:c16="http://schemas.microsoft.com/office/drawing/2014/chart" uri="{C3380CC4-5D6E-409C-BE32-E72D297353CC}">
              <c16:uniqueId val="{00000000-5FDE-45B2-92A5-3F21F30B88F9}"/>
            </c:ext>
          </c:extLst>
        </c:ser>
        <c:dLbls>
          <c:showLegendKey val="0"/>
          <c:showVal val="0"/>
          <c:showCatName val="0"/>
          <c:showSerName val="0"/>
          <c:showPercent val="0"/>
          <c:showBubbleSize val="0"/>
        </c:dLbls>
        <c:gapWidth val="219"/>
        <c:overlap val="-27"/>
        <c:axId val="2003041711"/>
        <c:axId val="754471456"/>
      </c:barChart>
      <c:catAx>
        <c:axId val="200304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54471456"/>
        <c:crosses val="autoZero"/>
        <c:auto val="1"/>
        <c:lblAlgn val="ctr"/>
        <c:lblOffset val="100"/>
        <c:noMultiLvlLbl val="0"/>
      </c:catAx>
      <c:valAx>
        <c:axId val="75447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0304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a:p>
            <a:pPr>
              <a:defRPr/>
            </a:pPr>
            <a:endParaRPr lang="en-US"/>
          </a:p>
        </c:rich>
      </c:tx>
      <c:layout>
        <c:manualLayout>
          <c:xMode val="edge"/>
          <c:yMode val="edge"/>
          <c:x val="0.36685397933996217"/>
          <c:y val="5.8667456873532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Region!$A$4:$A$10</c:f>
              <c:strCache>
                <c:ptCount val="6"/>
                <c:pt idx="0">
                  <c:v>Faisalabad</c:v>
                </c:pt>
                <c:pt idx="1">
                  <c:v>Islamabad</c:v>
                </c:pt>
                <c:pt idx="2">
                  <c:v>Karachi</c:v>
                </c:pt>
                <c:pt idx="3">
                  <c:v>Lahore</c:v>
                </c:pt>
                <c:pt idx="4">
                  <c:v>Multan</c:v>
                </c:pt>
                <c:pt idx="5">
                  <c:v>Rawalpindi</c:v>
                </c:pt>
              </c:strCache>
            </c:strRef>
          </c:cat>
          <c:val>
            <c:numRef>
              <c:f>Region!$B$4:$B$10</c:f>
              <c:numCache>
                <c:formatCode>General</c:formatCode>
                <c:ptCount val="6"/>
                <c:pt idx="0">
                  <c:v>19589100</c:v>
                </c:pt>
                <c:pt idx="1">
                  <c:v>18761300</c:v>
                </c:pt>
                <c:pt idx="2">
                  <c:v>21707100</c:v>
                </c:pt>
                <c:pt idx="3">
                  <c:v>19790800</c:v>
                </c:pt>
                <c:pt idx="4">
                  <c:v>17948600</c:v>
                </c:pt>
                <c:pt idx="5">
                  <c:v>19203500</c:v>
                </c:pt>
              </c:numCache>
            </c:numRef>
          </c:val>
          <c:extLst>
            <c:ext xmlns:c16="http://schemas.microsoft.com/office/drawing/2014/chart" uri="{C3380CC4-5D6E-409C-BE32-E72D297353CC}">
              <c16:uniqueId val="{00000000-7D64-4AB9-8C89-594CBFF434EE}"/>
            </c:ext>
          </c:extLst>
        </c:ser>
        <c:dLbls>
          <c:showLegendKey val="0"/>
          <c:showVal val="0"/>
          <c:showCatName val="0"/>
          <c:showSerName val="0"/>
          <c:showPercent val="0"/>
          <c:showBubbleSize val="0"/>
        </c:dLbls>
        <c:gapWidth val="219"/>
        <c:overlap val="-27"/>
        <c:axId val="2003050527"/>
        <c:axId val="754469536"/>
      </c:barChart>
      <c:catAx>
        <c:axId val="20030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54469536"/>
        <c:crosses val="autoZero"/>
        <c:auto val="1"/>
        <c:lblAlgn val="ctr"/>
        <c:lblOffset val="100"/>
        <c:noMultiLvlLbl val="0"/>
      </c:catAx>
      <c:valAx>
        <c:axId val="75446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0305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40430555555555558"/>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Category!$A$4:$A$8</c:f>
              <c:strCache>
                <c:ptCount val="4"/>
                <c:pt idx="0">
                  <c:v>Accessories</c:v>
                </c:pt>
                <c:pt idx="1">
                  <c:v>Electronics</c:v>
                </c:pt>
                <c:pt idx="2">
                  <c:v>Furniture</c:v>
                </c:pt>
                <c:pt idx="3">
                  <c:v>Office Equipment</c:v>
                </c:pt>
              </c:strCache>
            </c:strRef>
          </c:cat>
          <c:val>
            <c:numRef>
              <c:f>Category!$B$4:$B$8</c:f>
              <c:numCache>
                <c:formatCode>General</c:formatCode>
                <c:ptCount val="4"/>
                <c:pt idx="0">
                  <c:v>9844200</c:v>
                </c:pt>
                <c:pt idx="1">
                  <c:v>71926900</c:v>
                </c:pt>
                <c:pt idx="2">
                  <c:v>22833800</c:v>
                </c:pt>
                <c:pt idx="3">
                  <c:v>12395500</c:v>
                </c:pt>
              </c:numCache>
            </c:numRef>
          </c:val>
          <c:extLst>
            <c:ext xmlns:c16="http://schemas.microsoft.com/office/drawing/2014/chart" uri="{C3380CC4-5D6E-409C-BE32-E72D297353CC}">
              <c16:uniqueId val="{00000000-0BE2-41D8-A4E7-9AD113990B73}"/>
            </c:ext>
          </c:extLst>
        </c:ser>
        <c:dLbls>
          <c:showLegendKey val="0"/>
          <c:showVal val="0"/>
          <c:showCatName val="0"/>
          <c:showSerName val="0"/>
          <c:showPercent val="0"/>
          <c:showBubbleSize val="0"/>
        </c:dLbls>
        <c:gapWidth val="182"/>
        <c:axId val="2003075119"/>
        <c:axId val="754480576"/>
      </c:barChart>
      <c:catAx>
        <c:axId val="200307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54480576"/>
        <c:crosses val="autoZero"/>
        <c:auto val="1"/>
        <c:lblAlgn val="ctr"/>
        <c:lblOffset val="100"/>
        <c:noMultiLvlLbl val="0"/>
      </c:catAx>
      <c:valAx>
        <c:axId val="75448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030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10!PivotTable5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a:t>
            </a:r>
            <a:endParaRPr lang="en-US"/>
          </a:p>
        </c:rich>
      </c:tx>
      <c:layout>
        <c:manualLayout>
          <c:xMode val="edge"/>
          <c:yMode val="edge"/>
          <c:x val="0.3453263342082239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10'!$A$4:$A$15</c:f>
              <c:strCache>
                <c:ptCount val="11"/>
                <c:pt idx="0">
                  <c:v>Laptop </c:v>
                </c:pt>
                <c:pt idx="1">
                  <c:v>Mouse</c:v>
                </c:pt>
                <c:pt idx="2">
                  <c:v>Headphones</c:v>
                </c:pt>
                <c:pt idx="3">
                  <c:v>Keyboard</c:v>
                </c:pt>
                <c:pt idx="4">
                  <c:v>Webcam</c:v>
                </c:pt>
                <c:pt idx="5">
                  <c:v>Chair</c:v>
                </c:pt>
                <c:pt idx="6">
                  <c:v>Desk</c:v>
                </c:pt>
                <c:pt idx="7">
                  <c:v>Printer</c:v>
                </c:pt>
                <c:pt idx="8">
                  <c:v>Monitor</c:v>
                </c:pt>
                <c:pt idx="9">
                  <c:v>Tablet</c:v>
                </c:pt>
                <c:pt idx="10">
                  <c:v>Laptop</c:v>
                </c:pt>
              </c:strCache>
            </c:strRef>
          </c:cat>
          <c:val>
            <c:numRef>
              <c:f>'Top 10'!$B$4:$B$15</c:f>
              <c:numCache>
                <c:formatCode>General</c:formatCode>
                <c:ptCount val="11"/>
                <c:pt idx="0">
                  <c:v>30500</c:v>
                </c:pt>
                <c:pt idx="1">
                  <c:v>1248000</c:v>
                </c:pt>
                <c:pt idx="2">
                  <c:v>2465000</c:v>
                </c:pt>
                <c:pt idx="3">
                  <c:v>2531400</c:v>
                </c:pt>
                <c:pt idx="4">
                  <c:v>3569300</c:v>
                </c:pt>
                <c:pt idx="5">
                  <c:v>10517300</c:v>
                </c:pt>
                <c:pt idx="6">
                  <c:v>12316500</c:v>
                </c:pt>
                <c:pt idx="7">
                  <c:v>12395500</c:v>
                </c:pt>
                <c:pt idx="8">
                  <c:v>14254500</c:v>
                </c:pt>
                <c:pt idx="9">
                  <c:v>24041200</c:v>
                </c:pt>
                <c:pt idx="10">
                  <c:v>33631200</c:v>
                </c:pt>
              </c:numCache>
            </c:numRef>
          </c:val>
          <c:extLst>
            <c:ext xmlns:c16="http://schemas.microsoft.com/office/drawing/2014/chart" uri="{C3380CC4-5D6E-409C-BE32-E72D297353CC}">
              <c16:uniqueId val="{00000000-69DF-4B2B-B1A0-5FE47E49BBFE}"/>
            </c:ext>
          </c:extLst>
        </c:ser>
        <c:dLbls>
          <c:showLegendKey val="0"/>
          <c:showVal val="0"/>
          <c:showCatName val="0"/>
          <c:showSerName val="0"/>
          <c:showPercent val="0"/>
          <c:showBubbleSize val="0"/>
        </c:dLbls>
        <c:gapWidth val="182"/>
        <c:axId val="1074397280"/>
        <c:axId val="754514656"/>
      </c:barChart>
      <c:catAx>
        <c:axId val="107439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54514656"/>
        <c:crosses val="autoZero"/>
        <c:auto val="1"/>
        <c:lblAlgn val="ctr"/>
        <c:lblOffset val="100"/>
        <c:noMultiLvlLbl val="0"/>
      </c:catAx>
      <c:valAx>
        <c:axId val="75451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7439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148771</xdr:colOff>
      <xdr:row>4</xdr:row>
      <xdr:rowOff>163285</xdr:rowOff>
    </xdr:from>
    <xdr:to>
      <xdr:col>5</xdr:col>
      <xdr:colOff>426356</xdr:colOff>
      <xdr:row>16</xdr:row>
      <xdr:rowOff>7257</xdr:rowOff>
    </xdr:to>
    <xdr:graphicFrame macro="">
      <xdr:nvGraphicFramePr>
        <xdr:cNvPr id="2" name="Chart 1">
          <a:extLst>
            <a:ext uri="{FF2B5EF4-FFF2-40B4-BE49-F238E27FC236}">
              <a16:creationId xmlns:a16="http://schemas.microsoft.com/office/drawing/2014/main" id="{CEFCE7DC-10C9-4713-B08C-20F06E054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730779</xdr:colOff>
      <xdr:row>4</xdr:row>
      <xdr:rowOff>89542</xdr:rowOff>
    </xdr:from>
    <xdr:to>
      <xdr:col>12</xdr:col>
      <xdr:colOff>339989</xdr:colOff>
      <xdr:row>17</xdr:row>
      <xdr:rowOff>121217</xdr:rowOff>
    </xdr:to>
    <xdr:graphicFrame macro="">
      <xdr:nvGraphicFramePr>
        <xdr:cNvPr id="3" name="Chart 2">
          <a:extLst>
            <a:ext uri="{FF2B5EF4-FFF2-40B4-BE49-F238E27FC236}">
              <a16:creationId xmlns:a16="http://schemas.microsoft.com/office/drawing/2014/main" id="{F4FF42FE-5664-437E-ADE9-539A14477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121558</xdr:colOff>
      <xdr:row>16</xdr:row>
      <xdr:rowOff>108856</xdr:rowOff>
    </xdr:from>
    <xdr:to>
      <xdr:col>5</xdr:col>
      <xdr:colOff>508000</xdr:colOff>
      <xdr:row>32</xdr:row>
      <xdr:rowOff>9071</xdr:rowOff>
    </xdr:to>
    <xdr:graphicFrame macro="">
      <xdr:nvGraphicFramePr>
        <xdr:cNvPr id="4" name="Chart 3">
          <a:extLst>
            <a:ext uri="{FF2B5EF4-FFF2-40B4-BE49-F238E27FC236}">
              <a16:creationId xmlns:a16="http://schemas.microsoft.com/office/drawing/2014/main" id="{8DD4A143-4C72-4ED9-ABAE-76081B275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792200</xdr:colOff>
      <xdr:row>18</xdr:row>
      <xdr:rowOff>52918</xdr:rowOff>
    </xdr:from>
    <xdr:to>
      <xdr:col>12</xdr:col>
      <xdr:colOff>362856</xdr:colOff>
      <xdr:row>32</xdr:row>
      <xdr:rowOff>127000</xdr:rowOff>
    </xdr:to>
    <xdr:graphicFrame macro="">
      <xdr:nvGraphicFramePr>
        <xdr:cNvPr id="5" name="Chart 4">
          <a:extLst>
            <a:ext uri="{FF2B5EF4-FFF2-40B4-BE49-F238E27FC236}">
              <a16:creationId xmlns:a16="http://schemas.microsoft.com/office/drawing/2014/main" id="{8F27ABB1-E12C-4BA3-A3E3-BF0385E5C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243795</xdr:colOff>
      <xdr:row>1</xdr:row>
      <xdr:rowOff>21773</xdr:rowOff>
    </xdr:from>
    <xdr:to>
      <xdr:col>12</xdr:col>
      <xdr:colOff>529545</xdr:colOff>
      <xdr:row>6</xdr:row>
      <xdr:rowOff>72572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5EEDFB9-F052-A4DF-2F90-EB82542977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11017" y="254606"/>
              <a:ext cx="1499306" cy="96802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1588</xdr:colOff>
      <xdr:row>1</xdr:row>
      <xdr:rowOff>27896</xdr:rowOff>
    </xdr:from>
    <xdr:to>
      <xdr:col>15</xdr:col>
      <xdr:colOff>155576</xdr:colOff>
      <xdr:row>6</xdr:row>
      <xdr:rowOff>58511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0C4737C-33D9-12ED-A60A-C2C0BA697B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89144" y="260729"/>
              <a:ext cx="1367543" cy="94783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231095</xdr:colOff>
      <xdr:row>1</xdr:row>
      <xdr:rowOff>48987</xdr:rowOff>
    </xdr:from>
    <xdr:to>
      <xdr:col>17</xdr:col>
      <xdr:colOff>415245</xdr:colOff>
      <xdr:row>6</xdr:row>
      <xdr:rowOff>68036</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C3F26D1A-31D6-5C03-1147-FDB77D5DDA5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532206" y="281820"/>
              <a:ext cx="1397706" cy="93627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li" refreshedDate="46247.046748263892" createdVersion="8" refreshedVersion="8" minRefreshableVersion="3" recordCount="1000" xr:uid="{C1856ECD-D1F8-4613-9301-3FFFDCCCD006}">
  <cacheSource type="worksheet">
    <worksheetSource name="Table1_1"/>
  </cacheSource>
  <cacheFields count="11">
    <cacheField name="Order ID" numFmtId="0">
      <sharedItems/>
    </cacheField>
    <cacheField name="Order Date" numFmtId="14">
      <sharedItems containsSemiMixedTypes="0" containsNonDate="0" containsDate="1" containsString="0" minDate="2026-01-01T00:00:00" maxDate="2026-07-02T00:00:00" count="182">
        <d v="2026-05-19T00:00:00"/>
        <d v="2026-06-10T00:00:00"/>
        <d v="2026-02-19T00:00:00"/>
        <d v="2026-06-02T00:00:00"/>
        <d v="2026-03-31T00:00:00"/>
        <d v="2026-03-16T00:00:00"/>
        <d v="2026-02-21T00:00:00"/>
        <d v="2026-06-20T00:00:00"/>
        <d v="2026-04-15T00:00:00"/>
        <d v="2026-03-13T00:00:00"/>
        <d v="2026-02-04T00:00:00"/>
        <d v="2026-01-14T00:00:00"/>
        <d v="2026-04-25T00:00:00"/>
        <d v="2026-06-12T00:00:00"/>
        <d v="2026-04-13T00:00:00"/>
        <d v="2026-05-25T00:00:00"/>
        <d v="2026-05-20T00:00:00"/>
        <d v="2026-06-18T00:00:00"/>
        <d v="2026-06-09T00:00:00"/>
        <d v="2026-02-14T00:00:00"/>
        <d v="2026-05-02T00:00:00"/>
        <d v="2026-05-12T00:00:00"/>
        <d v="2026-05-08T00:00:00"/>
        <d v="2026-04-06T00:00:00"/>
        <d v="2026-05-26T00:00:00"/>
        <d v="2026-02-01T00:00:00"/>
        <d v="2026-06-13T00:00:00"/>
        <d v="2026-03-22T00:00:00"/>
        <d v="2026-03-05T00:00:00"/>
        <d v="2026-06-05T00:00:00"/>
        <d v="2026-03-26T00:00:00"/>
        <d v="2026-05-28T00:00:00"/>
        <d v="2026-01-02T00:00:00"/>
        <d v="2026-02-07T00:00:00"/>
        <d v="2026-03-29T00:00:00"/>
        <d v="2026-06-28T00:00:00"/>
        <d v="2026-03-09T00:00:00"/>
        <d v="2026-04-28T00:00:00"/>
        <d v="2026-01-08T00:00:00"/>
        <d v="2026-05-30T00:00:00"/>
        <d v="2026-02-24T00:00:00"/>
        <d v="2026-03-17T00:00:00"/>
        <d v="2026-03-28T00:00:00"/>
        <d v="2026-03-01T00:00:00"/>
        <d v="2026-06-26T00:00:00"/>
        <d v="2026-04-16T00:00:00"/>
        <d v="2026-05-23T00:00:00"/>
        <d v="2026-03-27T00:00:00"/>
        <d v="2026-02-26T00:00:00"/>
        <d v="2026-03-11T00:00:00"/>
        <d v="2026-06-30T00:00:00"/>
        <d v="2026-03-18T00:00:00"/>
        <d v="2026-04-26T00:00:00"/>
        <d v="2026-06-17T00:00:00"/>
        <d v="2026-06-21T00:00:00"/>
        <d v="2026-02-10T00:00:00"/>
        <d v="2026-05-13T00:00:00"/>
        <d v="2026-01-11T00:00:00"/>
        <d v="2026-01-10T00:00:00"/>
        <d v="2026-05-31T00:00:00"/>
        <d v="2026-05-04T00:00:00"/>
        <d v="2026-06-11T00:00:00"/>
        <d v="2026-04-02T00:00:00"/>
        <d v="2026-04-04T00:00:00"/>
        <d v="2026-02-16T00:00:00"/>
        <d v="2026-01-30T00:00:00"/>
        <d v="2026-06-07T00:00:00"/>
        <d v="2026-06-29T00:00:00"/>
        <d v="2026-05-17T00:00:00"/>
        <d v="2026-04-17T00:00:00"/>
        <d v="2026-06-19T00:00:00"/>
        <d v="2026-05-09T00:00:00"/>
        <d v="2026-03-03T00:00:00"/>
        <d v="2026-03-07T00:00:00"/>
        <d v="2026-03-19T00:00:00"/>
        <d v="2026-04-20T00:00:00"/>
        <d v="2026-04-27T00:00:00"/>
        <d v="2026-05-15T00:00:00"/>
        <d v="2026-01-18T00:00:00"/>
        <d v="2026-01-25T00:00:00"/>
        <d v="2026-05-22T00:00:00"/>
        <d v="2026-02-08T00:00:00"/>
        <d v="2026-06-16T00:00:00"/>
        <d v="2026-02-03T00:00:00"/>
        <d v="2026-06-15T00:00:00"/>
        <d v="2026-06-23T00:00:00"/>
        <d v="2026-06-25T00:00:00"/>
        <d v="2026-01-20T00:00:00"/>
        <d v="2026-03-14T00:00:00"/>
        <d v="2026-03-08T00:00:00"/>
        <d v="2026-03-10T00:00:00"/>
        <d v="2026-05-06T00:00:00"/>
        <d v="2026-05-03T00:00:00"/>
        <d v="2026-03-12T00:00:00"/>
        <d v="2026-01-29T00:00:00"/>
        <d v="2026-02-22T00:00:00"/>
        <d v="2026-04-29T00:00:00"/>
        <d v="2026-02-05T00:00:00"/>
        <d v="2026-02-12T00:00:00"/>
        <d v="2026-06-08T00:00:00"/>
        <d v="2026-03-25T00:00:00"/>
        <d v="2026-01-13T00:00:00"/>
        <d v="2026-01-19T00:00:00"/>
        <d v="2026-04-24T00:00:00"/>
        <d v="2026-04-21T00:00:00"/>
        <d v="2026-01-28T00:00:00"/>
        <d v="2026-01-24T00:00:00"/>
        <d v="2026-03-15T00:00:00"/>
        <d v="2026-07-01T00:00:00"/>
        <d v="2026-02-28T00:00:00"/>
        <d v="2026-02-20T00:00:00"/>
        <d v="2026-02-02T00:00:00"/>
        <d v="2026-06-27T00:00:00"/>
        <d v="2026-04-08T00:00:00"/>
        <d v="2026-06-24T00:00:00"/>
        <d v="2026-05-21T00:00:00"/>
        <d v="2026-05-14T00:00:00"/>
        <d v="2026-04-12T00:00:00"/>
        <d v="2026-02-13T00:00:00"/>
        <d v="2026-01-09T00:00:00"/>
        <d v="2026-05-24T00:00:00"/>
        <d v="2026-02-15T00:00:00"/>
        <d v="2026-05-01T00:00:00"/>
        <d v="2026-04-19T00:00:00"/>
        <d v="2026-01-17T00:00:00"/>
        <d v="2026-05-11T00:00:00"/>
        <d v="2026-04-22T00:00:00"/>
        <d v="2026-04-14T00:00:00"/>
        <d v="2026-01-12T00:00:00"/>
        <d v="2026-04-09T00:00:00"/>
        <d v="2026-01-07T00:00:00"/>
        <d v="2026-05-07T00:00:00"/>
        <d v="2026-05-27T00:00:00"/>
        <d v="2026-06-04T00:00:00"/>
        <d v="2026-04-11T00:00:00"/>
        <d v="2026-03-02T00:00:00"/>
        <d v="2026-05-16T00:00:00"/>
        <d v="2026-01-05T00:00:00"/>
        <d v="2026-01-06T00:00:00"/>
        <d v="2026-04-18T00:00:00"/>
        <d v="2026-04-07T00:00:00"/>
        <d v="2026-02-06T00:00:00"/>
        <d v="2026-02-17T00:00:00"/>
        <d v="2026-06-14T00:00:00"/>
        <d v="2026-05-18T00:00:00"/>
        <d v="2026-01-27T00:00:00"/>
        <d v="2026-01-31T00:00:00"/>
        <d v="2026-04-03T00:00:00"/>
        <d v="2026-04-30T00:00:00"/>
        <d v="2026-01-01T00:00:00"/>
        <d v="2026-05-10T00:00:00"/>
        <d v="2026-03-30T00:00:00"/>
        <d v="2026-06-01T00:00:00"/>
        <d v="2026-01-03T00:00:00"/>
        <d v="2026-03-24T00:00:00"/>
        <d v="2026-05-29T00:00:00"/>
        <d v="2026-02-09T00:00:00"/>
        <d v="2026-01-04T00:00:00"/>
        <d v="2026-03-04T00:00:00"/>
        <d v="2026-03-23T00:00:00"/>
        <d v="2026-01-23T00:00:00"/>
        <d v="2026-04-23T00:00:00"/>
        <d v="2026-03-06T00:00:00"/>
        <d v="2026-02-27T00:00:00"/>
        <d v="2026-01-26T00:00:00"/>
        <d v="2026-02-11T00:00:00"/>
        <d v="2026-05-05T00:00:00"/>
        <d v="2026-04-10T00:00:00"/>
        <d v="2026-01-22T00:00:00"/>
        <d v="2026-03-20T00:00:00"/>
        <d v="2026-03-21T00:00:00"/>
        <d v="2026-06-03T00:00:00"/>
        <d v="2026-01-16T00:00:00"/>
        <d v="2026-01-15T00:00:00"/>
        <d v="2026-04-05T00:00:00"/>
        <d v="2026-06-22T00:00:00"/>
        <d v="2026-04-01T00:00:00"/>
        <d v="2026-01-21T00:00:00"/>
        <d v="2026-02-18T00:00:00"/>
        <d v="2026-02-23T00:00:00"/>
        <d v="2026-02-25T00:00:00"/>
        <d v="2026-06-06T00:00:00"/>
      </sharedItems>
      <fieldGroup par="10"/>
    </cacheField>
    <cacheField name="Customer" numFmtId="0">
      <sharedItems/>
    </cacheField>
    <cacheField name="Region" numFmtId="0">
      <sharedItems count="6">
        <s v="Multan"/>
        <s v="Rawalpindi"/>
        <s v="Lahore"/>
        <s v="Karachi"/>
        <s v="Islamabad"/>
        <s v="Faisalabad"/>
      </sharedItems>
    </cacheField>
    <cacheField name="Product" numFmtId="0">
      <sharedItems count="11">
        <s v="Mouse"/>
        <s v="Monitor"/>
        <s v="Printer"/>
        <s v="Laptop"/>
        <s v="Keyboard"/>
        <s v="Tablet"/>
        <s v="Headphones"/>
        <s v="Chair"/>
        <s v="Webcam"/>
        <s v="Desk"/>
        <s v="Laptop "/>
      </sharedItems>
    </cacheField>
    <cacheField name="Category" numFmtId="0">
      <sharedItems count="4">
        <s v="Accessories"/>
        <s v="Electronics"/>
        <s v="Office Equipment"/>
        <s v="Furniture"/>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2100" maxValue="97300"/>
    </cacheField>
    <cacheField name="Sales" numFmtId="0">
      <sharedItems containsSemiMixedTypes="0" containsString="0" containsNumber="1" containsInteger="1" minValue="2300" maxValue="765600"/>
    </cacheField>
    <cacheField name="Days (Order Date)" numFmtId="0" databaseField="0">
      <fieldGroup base="1">
        <rangePr groupBy="days" startDate="2026-01-01T00:00:00" endDate="2026-07-0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7/2026"/>
        </groupItems>
      </fieldGroup>
    </cacheField>
    <cacheField name="Months (Order Date)" numFmtId="0" databaseField="0">
      <fieldGroup base="1">
        <rangePr groupBy="months" startDate="2026-01-01T00:00:00" endDate="2026-07-02T00:00:00"/>
        <groupItems count="14">
          <s v="&lt;01/01/2026"/>
          <s v="Jan"/>
          <s v="Feb"/>
          <s v="Mar"/>
          <s v="Apr"/>
          <s v="May"/>
          <s v="Jun"/>
          <s v="Jul"/>
          <s v="Aug"/>
          <s v="Sep"/>
          <s v="Oct"/>
          <s v="Nov"/>
          <s v="Dec"/>
          <s v="&gt;02/07/2026"/>
        </groupItems>
      </fieldGroup>
    </cacheField>
  </cacheFields>
  <extLst>
    <ext xmlns:x14="http://schemas.microsoft.com/office/spreadsheetml/2009/9/main" uri="{725AE2AE-9491-48be-B2B4-4EB974FC3084}">
      <x14:pivotCacheDefinition pivotCacheId="1194295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627"/>
    <x v="0"/>
    <s v="Bilal Ahmed"/>
    <x v="0"/>
    <x v="0"/>
    <x v="0"/>
    <n v="7"/>
    <n v="2600"/>
    <n v="18200"/>
  </r>
  <r>
    <s v="ORD-0630"/>
    <x v="1"/>
    <s v="Zain Ahmed"/>
    <x v="1"/>
    <x v="1"/>
    <x v="1"/>
    <n v="5"/>
    <n v="38400"/>
    <n v="192000"/>
  </r>
  <r>
    <s v="ORD-0848"/>
    <x v="2"/>
    <s v="Sara Khan"/>
    <x v="1"/>
    <x v="2"/>
    <x v="2"/>
    <n v="5"/>
    <n v="25700"/>
    <n v="128500"/>
  </r>
  <r>
    <s v="ORD-0515"/>
    <x v="3"/>
    <s v="Fatima Ali"/>
    <x v="2"/>
    <x v="3"/>
    <x v="1"/>
    <n v="6"/>
    <n v="85800"/>
    <n v="514800"/>
  </r>
  <r>
    <s v="ORD-0366"/>
    <x v="4"/>
    <s v="Fatima Ali"/>
    <x v="0"/>
    <x v="0"/>
    <x v="0"/>
    <n v="8"/>
    <n v="2400"/>
    <n v="19200"/>
  </r>
  <r>
    <s v="ORD-0904"/>
    <x v="5"/>
    <s v="Ali Khan"/>
    <x v="0"/>
    <x v="0"/>
    <x v="0"/>
    <n v="2"/>
    <n v="2300"/>
    <n v="4600"/>
  </r>
  <r>
    <s v="ORD-0656"/>
    <x v="6"/>
    <s v="Ahmed Ali"/>
    <x v="2"/>
    <x v="4"/>
    <x v="0"/>
    <n v="4"/>
    <n v="5000"/>
    <n v="20000"/>
  </r>
  <r>
    <s v="ORD-0529"/>
    <x v="7"/>
    <s v="Danish Raza"/>
    <x v="2"/>
    <x v="2"/>
    <x v="2"/>
    <n v="5"/>
    <n v="24500"/>
    <n v="122500"/>
  </r>
  <r>
    <s v="ORD-0322"/>
    <x v="8"/>
    <s v="Zain Ahmed"/>
    <x v="3"/>
    <x v="5"/>
    <x v="1"/>
    <n v="8"/>
    <n v="55400"/>
    <n v="443200"/>
  </r>
  <r>
    <s v="ORD-0071"/>
    <x v="9"/>
    <s v="Hassan Shah"/>
    <x v="0"/>
    <x v="6"/>
    <x v="0"/>
    <n v="2"/>
    <n v="7400"/>
    <n v="14800"/>
  </r>
  <r>
    <s v="ORD-0791"/>
    <x v="10"/>
    <s v="Danish Raza"/>
    <x v="0"/>
    <x v="5"/>
    <x v="1"/>
    <n v="5"/>
    <n v="60600"/>
    <n v="303000"/>
  </r>
  <r>
    <s v="ORD-0372"/>
    <x v="11"/>
    <s v="Ali Khan"/>
    <x v="1"/>
    <x v="3"/>
    <x v="1"/>
    <n v="4"/>
    <n v="88500"/>
    <n v="354000"/>
  </r>
  <r>
    <s v="ORD-0835"/>
    <x v="12"/>
    <s v="Saad Khan"/>
    <x v="2"/>
    <x v="4"/>
    <x v="0"/>
    <n v="2"/>
    <n v="4800"/>
    <n v="9600"/>
  </r>
  <r>
    <s v="ORD-0457"/>
    <x v="13"/>
    <s v="Hamza Raza"/>
    <x v="0"/>
    <x v="4"/>
    <x v="0"/>
    <n v="7"/>
    <n v="4800"/>
    <n v="33600"/>
  </r>
  <r>
    <s v="ORD-0248"/>
    <x v="14"/>
    <s v="Fatima Ali"/>
    <x v="3"/>
    <x v="1"/>
    <x v="1"/>
    <n v="4"/>
    <n v="34300"/>
    <n v="137200"/>
  </r>
  <r>
    <s v="ORD-0959"/>
    <x v="15"/>
    <s v="Hamza Raza"/>
    <x v="4"/>
    <x v="6"/>
    <x v="0"/>
    <n v="1"/>
    <n v="6100"/>
    <n v="6100"/>
  </r>
  <r>
    <s v="ORD-0827"/>
    <x v="16"/>
    <s v="Ayesha Noor"/>
    <x v="4"/>
    <x v="1"/>
    <x v="1"/>
    <n v="5"/>
    <n v="36000"/>
    <n v="180000"/>
  </r>
  <r>
    <s v="ORD-0978"/>
    <x v="17"/>
    <s v="Hassan Shah"/>
    <x v="3"/>
    <x v="5"/>
    <x v="1"/>
    <n v="5"/>
    <n v="57700"/>
    <n v="288500"/>
  </r>
  <r>
    <s v="ORD-0299"/>
    <x v="16"/>
    <s v="Sara Khan"/>
    <x v="4"/>
    <x v="7"/>
    <x v="3"/>
    <n v="7"/>
    <n v="25200"/>
    <n v="176400"/>
  </r>
  <r>
    <s v="ORD-0102"/>
    <x v="18"/>
    <s v="Fatima Ali"/>
    <x v="3"/>
    <x v="4"/>
    <x v="0"/>
    <n v="8"/>
    <n v="5100"/>
    <n v="40800"/>
  </r>
  <r>
    <s v="ORD-0752"/>
    <x v="11"/>
    <s v="Ahmed Ali"/>
    <x v="0"/>
    <x v="5"/>
    <x v="1"/>
    <n v="6"/>
    <n v="62700"/>
    <n v="376200"/>
  </r>
  <r>
    <s v="ORD-0605"/>
    <x v="19"/>
    <s v="Sara Khan"/>
    <x v="3"/>
    <x v="0"/>
    <x v="0"/>
    <n v="8"/>
    <n v="2500"/>
    <n v="20000"/>
  </r>
  <r>
    <s v="ORD-0214"/>
    <x v="20"/>
    <s v="Sara Khan"/>
    <x v="4"/>
    <x v="5"/>
    <x v="1"/>
    <n v="2"/>
    <n v="59100"/>
    <n v="118200"/>
  </r>
  <r>
    <s v="ORD-0238"/>
    <x v="21"/>
    <s v="Ali Khan"/>
    <x v="4"/>
    <x v="8"/>
    <x v="0"/>
    <n v="7"/>
    <n v="7500"/>
    <n v="52500"/>
  </r>
  <r>
    <s v="ORD-0869"/>
    <x v="22"/>
    <s v="Ayesha Noor"/>
    <x v="2"/>
    <x v="9"/>
    <x v="3"/>
    <n v="6"/>
    <n v="28800"/>
    <n v="172800"/>
  </r>
  <r>
    <s v="ORD-0282"/>
    <x v="23"/>
    <s v="Usman Malik"/>
    <x v="3"/>
    <x v="0"/>
    <x v="0"/>
    <n v="7"/>
    <n v="2900"/>
    <n v="20300"/>
  </r>
  <r>
    <s v="ORD-0378"/>
    <x v="24"/>
    <s v="Zain Ahmed"/>
    <x v="3"/>
    <x v="6"/>
    <x v="0"/>
    <n v="1"/>
    <n v="5500"/>
    <n v="5500"/>
  </r>
  <r>
    <s v="ORD-0287"/>
    <x v="25"/>
    <s v="Ahmed Ali"/>
    <x v="2"/>
    <x v="1"/>
    <x v="1"/>
    <n v="5"/>
    <n v="32200"/>
    <n v="161000"/>
  </r>
  <r>
    <s v="ORD-0389"/>
    <x v="26"/>
    <s v="Bilal Ahmed"/>
    <x v="4"/>
    <x v="7"/>
    <x v="3"/>
    <n v="5"/>
    <n v="23300"/>
    <n v="116500"/>
  </r>
  <r>
    <s v="ORD-0883"/>
    <x v="27"/>
    <s v="Hassan Shah"/>
    <x v="0"/>
    <x v="1"/>
    <x v="1"/>
    <n v="3"/>
    <n v="33400"/>
    <n v="100200"/>
  </r>
  <r>
    <s v="ORD-0717"/>
    <x v="28"/>
    <s v="Sara Khan"/>
    <x v="4"/>
    <x v="7"/>
    <x v="3"/>
    <n v="2"/>
    <n v="21600"/>
    <n v="43200"/>
  </r>
  <r>
    <s v="ORD-0793"/>
    <x v="29"/>
    <s v="Ali Khan"/>
    <x v="4"/>
    <x v="7"/>
    <x v="3"/>
    <n v="2"/>
    <n v="19900"/>
    <n v="39800"/>
  </r>
  <r>
    <s v="ORD-0097"/>
    <x v="30"/>
    <s v="Fatima Ali"/>
    <x v="1"/>
    <x v="0"/>
    <x v="0"/>
    <n v="2"/>
    <n v="2400"/>
    <n v="4800"/>
  </r>
  <r>
    <s v="ORD-0245"/>
    <x v="31"/>
    <s v="Ayesha Noor"/>
    <x v="5"/>
    <x v="8"/>
    <x v="0"/>
    <n v="2"/>
    <n v="8900"/>
    <n v="17800"/>
  </r>
  <r>
    <s v="ORD-0735"/>
    <x v="32"/>
    <s v="Fatima Ali"/>
    <x v="0"/>
    <x v="9"/>
    <x v="3"/>
    <n v="3"/>
    <n v="34200"/>
    <n v="102600"/>
  </r>
  <r>
    <s v="ORD-0077"/>
    <x v="7"/>
    <s v="Hassan Shah"/>
    <x v="5"/>
    <x v="0"/>
    <x v="0"/>
    <n v="6"/>
    <n v="2400"/>
    <n v="14400"/>
  </r>
  <r>
    <s v="ORD-0897"/>
    <x v="10"/>
    <s v="Hassan Shah"/>
    <x v="4"/>
    <x v="6"/>
    <x v="0"/>
    <n v="1"/>
    <n v="5500"/>
    <n v="5500"/>
  </r>
  <r>
    <s v="ORD-0210"/>
    <x v="33"/>
    <s v="Zain Ahmed"/>
    <x v="3"/>
    <x v="0"/>
    <x v="0"/>
    <n v="4"/>
    <n v="2400"/>
    <n v="9600"/>
  </r>
  <r>
    <s v="ORD-0260"/>
    <x v="34"/>
    <s v="Saad Khan"/>
    <x v="3"/>
    <x v="3"/>
    <x v="1"/>
    <n v="8"/>
    <n v="74900"/>
    <n v="599200"/>
  </r>
  <r>
    <s v="ORD-0159"/>
    <x v="35"/>
    <s v="Sara Khan"/>
    <x v="3"/>
    <x v="4"/>
    <x v="0"/>
    <n v="5"/>
    <n v="4400"/>
    <n v="22000"/>
  </r>
  <r>
    <s v="ORD-0496"/>
    <x v="36"/>
    <s v="Danish Raza"/>
    <x v="1"/>
    <x v="2"/>
    <x v="2"/>
    <n v="4"/>
    <n v="27600"/>
    <n v="110400"/>
  </r>
  <r>
    <s v="ORD-0526"/>
    <x v="37"/>
    <s v="Ahmed Ali"/>
    <x v="3"/>
    <x v="3"/>
    <x v="1"/>
    <n v="1"/>
    <n v="74800"/>
    <n v="74800"/>
  </r>
  <r>
    <s v="ORD-0332"/>
    <x v="38"/>
    <s v="Sara Khan"/>
    <x v="0"/>
    <x v="0"/>
    <x v="0"/>
    <n v="7"/>
    <n v="2600"/>
    <n v="18200"/>
  </r>
  <r>
    <s v="ORD-0952"/>
    <x v="39"/>
    <s v="Usman Malik"/>
    <x v="2"/>
    <x v="4"/>
    <x v="0"/>
    <n v="5"/>
    <n v="4300"/>
    <n v="21500"/>
  </r>
  <r>
    <s v="ORD-0315"/>
    <x v="40"/>
    <s v="Zain Ahmed"/>
    <x v="4"/>
    <x v="6"/>
    <x v="0"/>
    <n v="5"/>
    <n v="6900"/>
    <n v="34500"/>
  </r>
  <r>
    <s v="ORD-0295"/>
    <x v="16"/>
    <s v="Hassan Shah"/>
    <x v="0"/>
    <x v="2"/>
    <x v="2"/>
    <n v="3"/>
    <n v="24200"/>
    <n v="72600"/>
  </r>
  <r>
    <s v="ORD-0382"/>
    <x v="41"/>
    <s v="Zain Ahmed"/>
    <x v="0"/>
    <x v="4"/>
    <x v="0"/>
    <n v="1"/>
    <n v="4800"/>
    <n v="4800"/>
  </r>
  <r>
    <s v="ORD-0920"/>
    <x v="42"/>
    <s v="Danish Raza"/>
    <x v="3"/>
    <x v="8"/>
    <x v="0"/>
    <n v="2"/>
    <n v="8400"/>
    <n v="16800"/>
  </r>
  <r>
    <s v="ORD-0573"/>
    <x v="43"/>
    <s v="Fatima Ali"/>
    <x v="1"/>
    <x v="6"/>
    <x v="0"/>
    <n v="2"/>
    <n v="5600"/>
    <n v="11200"/>
  </r>
  <r>
    <s v="ORD-0875"/>
    <x v="44"/>
    <s v="Hamza Raza"/>
    <x v="3"/>
    <x v="9"/>
    <x v="3"/>
    <n v="1"/>
    <n v="29100"/>
    <n v="29100"/>
  </r>
  <r>
    <s v="ORD-0517"/>
    <x v="45"/>
    <s v="Ahmed Ali"/>
    <x v="4"/>
    <x v="1"/>
    <x v="1"/>
    <n v="3"/>
    <n v="39900"/>
    <n v="119700"/>
  </r>
  <r>
    <s v="ORD-0718"/>
    <x v="46"/>
    <s v="Zain Ahmed"/>
    <x v="3"/>
    <x v="5"/>
    <x v="1"/>
    <n v="3"/>
    <n v="60600"/>
    <n v="181800"/>
  </r>
  <r>
    <s v="ORD-0060"/>
    <x v="47"/>
    <s v="Hamza Raza"/>
    <x v="0"/>
    <x v="5"/>
    <x v="1"/>
    <n v="5"/>
    <n v="47500"/>
    <n v="237500"/>
  </r>
  <r>
    <s v="ORD-0674"/>
    <x v="48"/>
    <s v="Danish Raza"/>
    <x v="5"/>
    <x v="3"/>
    <x v="1"/>
    <n v="4"/>
    <n v="81000"/>
    <n v="324000"/>
  </r>
  <r>
    <s v="ORD-0558"/>
    <x v="49"/>
    <s v="Fatima Ali"/>
    <x v="3"/>
    <x v="3"/>
    <x v="1"/>
    <n v="6"/>
    <n v="92800"/>
    <n v="556800"/>
  </r>
  <r>
    <s v="ORD-0744"/>
    <x v="39"/>
    <s v="Zain Ahmed"/>
    <x v="0"/>
    <x v="1"/>
    <x v="1"/>
    <n v="6"/>
    <n v="35700"/>
    <n v="214200"/>
  </r>
  <r>
    <s v="ORD-0381"/>
    <x v="37"/>
    <s v="Danish Raza"/>
    <x v="4"/>
    <x v="1"/>
    <x v="1"/>
    <n v="6"/>
    <n v="31500"/>
    <n v="189000"/>
  </r>
  <r>
    <s v="ORD-0055"/>
    <x v="50"/>
    <s v="Bilal Ahmed"/>
    <x v="5"/>
    <x v="4"/>
    <x v="0"/>
    <n v="8"/>
    <n v="5000"/>
    <n v="40000"/>
  </r>
  <r>
    <s v="ORD-0024"/>
    <x v="51"/>
    <s v="Danish Raza"/>
    <x v="5"/>
    <x v="7"/>
    <x v="3"/>
    <n v="2"/>
    <n v="24400"/>
    <n v="48800"/>
  </r>
  <r>
    <s v="ORD-0031"/>
    <x v="52"/>
    <s v="Ali Khan"/>
    <x v="2"/>
    <x v="2"/>
    <x v="2"/>
    <n v="8"/>
    <n v="31400"/>
    <n v="251200"/>
  </r>
  <r>
    <s v="ORD-0954"/>
    <x v="19"/>
    <s v="Sara Khan"/>
    <x v="0"/>
    <x v="1"/>
    <x v="1"/>
    <n v="6"/>
    <n v="38100"/>
    <n v="228600"/>
  </r>
  <r>
    <s v="ORD-0430"/>
    <x v="53"/>
    <s v="Danish Raza"/>
    <x v="4"/>
    <x v="5"/>
    <x v="1"/>
    <n v="4"/>
    <n v="55000"/>
    <n v="220000"/>
  </r>
  <r>
    <s v="ORD-0011"/>
    <x v="54"/>
    <s v="Bilal Ahmed"/>
    <x v="0"/>
    <x v="4"/>
    <x v="0"/>
    <n v="6"/>
    <n v="4300"/>
    <n v="25800"/>
  </r>
  <r>
    <s v="ORD-0654"/>
    <x v="21"/>
    <s v="Hamza Raza"/>
    <x v="3"/>
    <x v="8"/>
    <x v="0"/>
    <n v="6"/>
    <n v="8800"/>
    <n v="52800"/>
  </r>
  <r>
    <s v="ORD-0809"/>
    <x v="55"/>
    <s v="Hassan Shah"/>
    <x v="5"/>
    <x v="6"/>
    <x v="0"/>
    <n v="4"/>
    <n v="5800"/>
    <n v="23200"/>
  </r>
  <r>
    <s v="ORD-0483"/>
    <x v="56"/>
    <s v="Fatima Ali"/>
    <x v="5"/>
    <x v="1"/>
    <x v="1"/>
    <n v="5"/>
    <n v="32100"/>
    <n v="160500"/>
  </r>
  <r>
    <s v="ORD-0446"/>
    <x v="57"/>
    <s v="Usman Malik"/>
    <x v="2"/>
    <x v="9"/>
    <x v="3"/>
    <n v="2"/>
    <n v="33600"/>
    <n v="67200"/>
  </r>
  <r>
    <s v="ORD-0200"/>
    <x v="58"/>
    <s v="Bilal Ahmed"/>
    <x v="1"/>
    <x v="5"/>
    <x v="1"/>
    <n v="2"/>
    <n v="49100"/>
    <n v="98200"/>
  </r>
  <r>
    <s v="ORD-0501"/>
    <x v="31"/>
    <s v="Ayesha Noor"/>
    <x v="1"/>
    <x v="5"/>
    <x v="1"/>
    <n v="7"/>
    <n v="56600"/>
    <n v="396200"/>
  </r>
  <r>
    <s v="ORD-0905"/>
    <x v="18"/>
    <s v="Sara Khan"/>
    <x v="2"/>
    <x v="8"/>
    <x v="0"/>
    <n v="8"/>
    <n v="7500"/>
    <n v="60000"/>
  </r>
  <r>
    <s v="ORD-0108"/>
    <x v="18"/>
    <s v="Hamza Raza"/>
    <x v="2"/>
    <x v="0"/>
    <x v="0"/>
    <n v="4"/>
    <n v="2800"/>
    <n v="11200"/>
  </r>
  <r>
    <s v="ORD-0219"/>
    <x v="3"/>
    <s v="Fatima Ali"/>
    <x v="4"/>
    <x v="6"/>
    <x v="0"/>
    <n v="6"/>
    <n v="6300"/>
    <n v="37800"/>
  </r>
  <r>
    <s v="ORD-0421"/>
    <x v="59"/>
    <s v="Saad Khan"/>
    <x v="0"/>
    <x v="3"/>
    <x v="1"/>
    <n v="2"/>
    <n v="77000"/>
    <n v="154000"/>
  </r>
  <r>
    <s v="ORD-0175"/>
    <x v="1"/>
    <s v="Saad Khan"/>
    <x v="1"/>
    <x v="2"/>
    <x v="2"/>
    <n v="7"/>
    <n v="31800"/>
    <n v="222600"/>
  </r>
  <r>
    <s v="ORD-0895"/>
    <x v="60"/>
    <s v="Fatima Ali"/>
    <x v="2"/>
    <x v="7"/>
    <x v="3"/>
    <n v="5"/>
    <n v="24700"/>
    <n v="123500"/>
  </r>
  <r>
    <s v="ORD-0519"/>
    <x v="61"/>
    <s v="Bilal Ahmed"/>
    <x v="0"/>
    <x v="5"/>
    <x v="1"/>
    <n v="8"/>
    <n v="49100"/>
    <n v="392800"/>
  </r>
  <r>
    <s v="ORD-0454"/>
    <x v="62"/>
    <s v="Fatima Ali"/>
    <x v="1"/>
    <x v="6"/>
    <x v="0"/>
    <n v="8"/>
    <n v="6500"/>
    <n v="52000"/>
  </r>
  <r>
    <s v="ORD-0929"/>
    <x v="63"/>
    <s v="Zain Ahmed"/>
    <x v="2"/>
    <x v="4"/>
    <x v="0"/>
    <n v="1"/>
    <n v="4700"/>
    <n v="4700"/>
  </r>
  <r>
    <s v="ORD-0040"/>
    <x v="64"/>
    <s v="Bilal Ahmed"/>
    <x v="1"/>
    <x v="0"/>
    <x v="0"/>
    <n v="8"/>
    <n v="2200"/>
    <n v="17600"/>
  </r>
  <r>
    <s v="ORD-0707"/>
    <x v="65"/>
    <s v="Ali Khan"/>
    <x v="3"/>
    <x v="2"/>
    <x v="2"/>
    <n v="6"/>
    <n v="27400"/>
    <n v="164400"/>
  </r>
  <r>
    <s v="ORD-0947"/>
    <x v="52"/>
    <s v="Sara Khan"/>
    <x v="1"/>
    <x v="5"/>
    <x v="1"/>
    <n v="5"/>
    <n v="52700"/>
    <n v="263500"/>
  </r>
  <r>
    <s v="ORD-0352"/>
    <x v="66"/>
    <s v="Saad Khan"/>
    <x v="4"/>
    <x v="9"/>
    <x v="3"/>
    <n v="6"/>
    <n v="27000"/>
    <n v="162000"/>
  </r>
  <r>
    <s v="ORD-0067"/>
    <x v="45"/>
    <s v="Danish Raza"/>
    <x v="0"/>
    <x v="4"/>
    <x v="0"/>
    <n v="6"/>
    <n v="4900"/>
    <n v="29400"/>
  </r>
  <r>
    <s v="ORD-0278"/>
    <x v="23"/>
    <s v="Fatima Ali"/>
    <x v="3"/>
    <x v="6"/>
    <x v="0"/>
    <n v="1"/>
    <n v="6800"/>
    <n v="6800"/>
  </r>
  <r>
    <s v="ORD-0068"/>
    <x v="67"/>
    <s v="Ali Khan"/>
    <x v="1"/>
    <x v="0"/>
    <x v="0"/>
    <n v="5"/>
    <n v="2200"/>
    <n v="11000"/>
  </r>
  <r>
    <s v="ORD-0906"/>
    <x v="68"/>
    <s v="Ahmed Ali"/>
    <x v="2"/>
    <x v="2"/>
    <x v="2"/>
    <n v="1"/>
    <n v="25100"/>
    <n v="25100"/>
  </r>
  <r>
    <s v="ORD-0733"/>
    <x v="69"/>
    <s v="Ahmed Ali"/>
    <x v="0"/>
    <x v="0"/>
    <x v="0"/>
    <n v="6"/>
    <n v="2200"/>
    <n v="13200"/>
  </r>
  <r>
    <s v="ORD-0817"/>
    <x v="39"/>
    <s v="Hamza Raza"/>
    <x v="5"/>
    <x v="0"/>
    <x v="0"/>
    <n v="7"/>
    <n v="2600"/>
    <n v="18200"/>
  </r>
  <r>
    <s v="ORD-0297"/>
    <x v="37"/>
    <s v="Ahmed Ali"/>
    <x v="4"/>
    <x v="4"/>
    <x v="0"/>
    <n v="2"/>
    <n v="4800"/>
    <n v="9600"/>
  </r>
  <r>
    <s v="ORD-0618"/>
    <x v="36"/>
    <s v="Usman Malik"/>
    <x v="2"/>
    <x v="1"/>
    <x v="1"/>
    <n v="6"/>
    <n v="34400"/>
    <n v="206400"/>
  </r>
  <r>
    <s v="ORD-0598"/>
    <x v="64"/>
    <s v="Ahmed Ali"/>
    <x v="4"/>
    <x v="7"/>
    <x v="3"/>
    <n v="6"/>
    <n v="21300"/>
    <n v="127800"/>
  </r>
  <r>
    <s v="ORD-0815"/>
    <x v="70"/>
    <s v="Bilal Ahmed"/>
    <x v="3"/>
    <x v="9"/>
    <x v="3"/>
    <n v="1"/>
    <n v="33400"/>
    <n v="33400"/>
  </r>
  <r>
    <s v="ORD-0798"/>
    <x v="71"/>
    <s v="Fatima Ali"/>
    <x v="3"/>
    <x v="0"/>
    <x v="0"/>
    <n v="5"/>
    <n v="2200"/>
    <n v="11000"/>
  </r>
  <r>
    <s v="ORD-0424"/>
    <x v="72"/>
    <s v="Fatima Ali"/>
    <x v="4"/>
    <x v="0"/>
    <x v="0"/>
    <n v="4"/>
    <n v="2400"/>
    <n v="9600"/>
  </r>
  <r>
    <s v="ORD-0757"/>
    <x v="73"/>
    <s v="Ahmed Ali"/>
    <x v="4"/>
    <x v="4"/>
    <x v="0"/>
    <n v="3"/>
    <n v="4600"/>
    <n v="13800"/>
  </r>
  <r>
    <s v="ORD-0313"/>
    <x v="9"/>
    <s v="Usman Malik"/>
    <x v="3"/>
    <x v="2"/>
    <x v="2"/>
    <n v="7"/>
    <n v="26400"/>
    <n v="184800"/>
  </r>
  <r>
    <s v="ORD-0185"/>
    <x v="74"/>
    <s v="Usman Malik"/>
    <x v="1"/>
    <x v="5"/>
    <x v="1"/>
    <n v="5"/>
    <n v="54300"/>
    <n v="271500"/>
  </r>
  <r>
    <s v="ORD-0333"/>
    <x v="74"/>
    <s v="Sara Khan"/>
    <x v="2"/>
    <x v="7"/>
    <x v="3"/>
    <n v="5"/>
    <n v="22900"/>
    <n v="114500"/>
  </r>
  <r>
    <s v="ORD-0089"/>
    <x v="48"/>
    <s v="Hamza Raza"/>
    <x v="0"/>
    <x v="3"/>
    <x v="1"/>
    <n v="2"/>
    <n v="92100"/>
    <n v="184200"/>
  </r>
  <r>
    <s v="ORD-0064"/>
    <x v="57"/>
    <s v="Hassan Shah"/>
    <x v="2"/>
    <x v="3"/>
    <x v="1"/>
    <n v="5"/>
    <n v="81500"/>
    <n v="407500"/>
  </r>
  <r>
    <s v="ORD-0830"/>
    <x v="75"/>
    <s v="Danish Raza"/>
    <x v="5"/>
    <x v="5"/>
    <x v="1"/>
    <n v="6"/>
    <n v="48500"/>
    <n v="291000"/>
  </r>
  <r>
    <s v="ORD-0803"/>
    <x v="76"/>
    <s v="Ahmed Ali"/>
    <x v="3"/>
    <x v="0"/>
    <x v="0"/>
    <n v="6"/>
    <n v="2400"/>
    <n v="14400"/>
  </r>
  <r>
    <s v="ORD-0216"/>
    <x v="38"/>
    <s v="Ahmed Ali"/>
    <x v="1"/>
    <x v="7"/>
    <x v="3"/>
    <n v="5"/>
    <n v="21700"/>
    <n v="108500"/>
  </r>
  <r>
    <s v="ORD-0604"/>
    <x v="15"/>
    <s v="Hamza Raza"/>
    <x v="5"/>
    <x v="3"/>
    <x v="1"/>
    <n v="6"/>
    <n v="96400"/>
    <n v="578400"/>
  </r>
  <r>
    <s v="ORD-0548"/>
    <x v="57"/>
    <s v="Ahmed Ali"/>
    <x v="1"/>
    <x v="1"/>
    <x v="1"/>
    <n v="1"/>
    <n v="32500"/>
    <n v="32500"/>
  </r>
  <r>
    <s v="ORD-0291"/>
    <x v="77"/>
    <s v="Fatima Ali"/>
    <x v="5"/>
    <x v="1"/>
    <x v="1"/>
    <n v="6"/>
    <n v="30500"/>
    <n v="183000"/>
  </r>
  <r>
    <s v="ORD-0787"/>
    <x v="78"/>
    <s v="Usman Malik"/>
    <x v="4"/>
    <x v="0"/>
    <x v="0"/>
    <n v="2"/>
    <n v="2300"/>
    <n v="4600"/>
  </r>
  <r>
    <s v="ORD-0887"/>
    <x v="79"/>
    <s v="Ali Khan"/>
    <x v="1"/>
    <x v="0"/>
    <x v="0"/>
    <n v="3"/>
    <n v="2400"/>
    <n v="7200"/>
  </r>
  <r>
    <s v="ORD-0963"/>
    <x v="14"/>
    <s v="Fatima Ali"/>
    <x v="1"/>
    <x v="7"/>
    <x v="3"/>
    <n v="7"/>
    <n v="20400"/>
    <n v="142800"/>
  </r>
  <r>
    <s v="ORD-0942"/>
    <x v="26"/>
    <s v="Zain Ahmed"/>
    <x v="4"/>
    <x v="4"/>
    <x v="0"/>
    <n v="7"/>
    <n v="4800"/>
    <n v="33600"/>
  </r>
  <r>
    <s v="ORD-0741"/>
    <x v="80"/>
    <s v="Danish Raza"/>
    <x v="2"/>
    <x v="6"/>
    <x v="0"/>
    <n v="6"/>
    <n v="6900"/>
    <n v="41400"/>
  </r>
  <r>
    <s v="ORD-0681"/>
    <x v="81"/>
    <s v="Hamza Raza"/>
    <x v="2"/>
    <x v="5"/>
    <x v="1"/>
    <n v="5"/>
    <n v="53600"/>
    <n v="268000"/>
  </r>
  <r>
    <s v="ORD-0694"/>
    <x v="82"/>
    <s v="Ahmed Ali"/>
    <x v="1"/>
    <x v="3"/>
    <x v="1"/>
    <n v="3"/>
    <n v="75400"/>
    <n v="226200"/>
  </r>
  <r>
    <s v="ORD-0989"/>
    <x v="83"/>
    <s v="Usman Malik"/>
    <x v="0"/>
    <x v="9"/>
    <x v="3"/>
    <n v="6"/>
    <n v="29500"/>
    <n v="177000"/>
  </r>
  <r>
    <s v="ORD-0310"/>
    <x v="84"/>
    <s v="Hassan Shah"/>
    <x v="4"/>
    <x v="3"/>
    <x v="1"/>
    <n v="3"/>
    <n v="74000"/>
    <n v="222000"/>
  </r>
  <r>
    <s v="ORD-0087"/>
    <x v="61"/>
    <s v="Zain Ahmed"/>
    <x v="2"/>
    <x v="9"/>
    <x v="3"/>
    <n v="2"/>
    <n v="29600"/>
    <n v="59200"/>
  </r>
  <r>
    <s v="ORD-0849"/>
    <x v="8"/>
    <s v="Fatima Ali"/>
    <x v="3"/>
    <x v="9"/>
    <x v="3"/>
    <n v="1"/>
    <n v="27800"/>
    <n v="27800"/>
  </r>
  <r>
    <s v="ORD-0785"/>
    <x v="78"/>
    <s v="Bilal Ahmed"/>
    <x v="3"/>
    <x v="8"/>
    <x v="0"/>
    <n v="2"/>
    <n v="7500"/>
    <n v="15000"/>
  </r>
  <r>
    <s v="ORD-0311"/>
    <x v="85"/>
    <s v="Sara Khan"/>
    <x v="4"/>
    <x v="5"/>
    <x v="1"/>
    <n v="1"/>
    <n v="56700"/>
    <n v="56700"/>
  </r>
  <r>
    <s v="ORD-0536"/>
    <x v="15"/>
    <s v="Ahmed Ali"/>
    <x v="5"/>
    <x v="4"/>
    <x v="0"/>
    <n v="3"/>
    <n v="3900"/>
    <n v="11700"/>
  </r>
  <r>
    <s v="ORD-0137"/>
    <x v="69"/>
    <s v="Zain Ahmed"/>
    <x v="5"/>
    <x v="0"/>
    <x v="0"/>
    <n v="2"/>
    <n v="2500"/>
    <n v="5000"/>
  </r>
  <r>
    <s v="ORD-0871"/>
    <x v="86"/>
    <s v="Usman Malik"/>
    <x v="3"/>
    <x v="4"/>
    <x v="0"/>
    <n v="3"/>
    <n v="5100"/>
    <n v="15300"/>
  </r>
  <r>
    <s v="ORD-0466"/>
    <x v="87"/>
    <s v="Hassan Shah"/>
    <x v="4"/>
    <x v="6"/>
    <x v="0"/>
    <n v="7"/>
    <n v="6100"/>
    <n v="42700"/>
  </r>
  <r>
    <s v="ORD-0896"/>
    <x v="45"/>
    <s v="Bilal Ahmed"/>
    <x v="2"/>
    <x v="1"/>
    <x v="1"/>
    <n v="8"/>
    <n v="33000"/>
    <n v="264000"/>
  </r>
  <r>
    <s v="ORD-0262"/>
    <x v="88"/>
    <s v="Ayesha Noor"/>
    <x v="1"/>
    <x v="7"/>
    <x v="3"/>
    <n v="3"/>
    <n v="21100"/>
    <n v="63300"/>
  </r>
  <r>
    <s v="ORD-0487"/>
    <x v="76"/>
    <s v="Usman Malik"/>
    <x v="5"/>
    <x v="4"/>
    <x v="0"/>
    <n v="6"/>
    <n v="4200"/>
    <n v="25200"/>
  </r>
  <r>
    <s v="ORD-0169"/>
    <x v="45"/>
    <s v="Ahmed Ali"/>
    <x v="4"/>
    <x v="0"/>
    <x v="0"/>
    <n v="7"/>
    <n v="2300"/>
    <n v="16100"/>
  </r>
  <r>
    <s v="ORD-0828"/>
    <x v="32"/>
    <s v="Zain Ahmed"/>
    <x v="5"/>
    <x v="0"/>
    <x v="0"/>
    <n v="1"/>
    <n v="2700"/>
    <n v="2700"/>
  </r>
  <r>
    <s v="ORD-0448"/>
    <x v="27"/>
    <s v="Ahmed Ali"/>
    <x v="2"/>
    <x v="7"/>
    <x v="3"/>
    <n v="1"/>
    <n v="19900"/>
    <n v="19900"/>
  </r>
  <r>
    <s v="ORD-0140"/>
    <x v="36"/>
    <s v="Danish Raza"/>
    <x v="3"/>
    <x v="1"/>
    <x v="1"/>
    <n v="4"/>
    <n v="36300"/>
    <n v="145200"/>
  </r>
  <r>
    <s v="ORD-0683"/>
    <x v="61"/>
    <s v="Hamza Raza"/>
    <x v="4"/>
    <x v="4"/>
    <x v="0"/>
    <n v="2"/>
    <n v="4500"/>
    <n v="9000"/>
  </r>
  <r>
    <s v="ORD-0771"/>
    <x v="30"/>
    <s v="Ahmed Ali"/>
    <x v="3"/>
    <x v="1"/>
    <x v="1"/>
    <n v="3"/>
    <n v="30000"/>
    <n v="90000"/>
  </r>
  <r>
    <s v="ORD-0853"/>
    <x v="89"/>
    <s v="Ali Khan"/>
    <x v="1"/>
    <x v="9"/>
    <x v="3"/>
    <n v="1"/>
    <n v="29800"/>
    <n v="29800"/>
  </r>
  <r>
    <s v="ORD-0441"/>
    <x v="90"/>
    <s v="Ayesha Noor"/>
    <x v="3"/>
    <x v="0"/>
    <x v="0"/>
    <n v="5"/>
    <n v="2700"/>
    <n v="13500"/>
  </r>
  <r>
    <s v="ORD-0999"/>
    <x v="91"/>
    <s v="Sara Khan"/>
    <x v="2"/>
    <x v="2"/>
    <x v="2"/>
    <n v="3"/>
    <n v="31000"/>
    <n v="93000"/>
  </r>
  <r>
    <s v="ORD-0531"/>
    <x v="92"/>
    <s v="Ali Khan"/>
    <x v="2"/>
    <x v="1"/>
    <x v="1"/>
    <n v="2"/>
    <n v="29800"/>
    <n v="59600"/>
  </r>
  <r>
    <s v="ORD-0056"/>
    <x v="80"/>
    <s v="Bilal Ahmed"/>
    <x v="0"/>
    <x v="7"/>
    <x v="3"/>
    <n v="1"/>
    <n v="23100"/>
    <n v="23100"/>
  </r>
  <r>
    <s v="ORD-0121"/>
    <x v="89"/>
    <s v="Hassan Shah"/>
    <x v="4"/>
    <x v="8"/>
    <x v="0"/>
    <n v="4"/>
    <n v="7700"/>
    <n v="30800"/>
  </r>
  <r>
    <s v="ORD-0528"/>
    <x v="93"/>
    <s v="Ali Khan"/>
    <x v="0"/>
    <x v="4"/>
    <x v="0"/>
    <n v="5"/>
    <n v="4000"/>
    <n v="20000"/>
  </r>
  <r>
    <s v="ORD-0026"/>
    <x v="94"/>
    <s v="Hassan Shah"/>
    <x v="4"/>
    <x v="3"/>
    <x v="1"/>
    <n v="6"/>
    <n v="84700"/>
    <n v="508200"/>
  </r>
  <r>
    <s v="ORD-0073"/>
    <x v="36"/>
    <s v="Ahmed Ali"/>
    <x v="3"/>
    <x v="1"/>
    <x v="1"/>
    <n v="5"/>
    <n v="31600"/>
    <n v="158000"/>
  </r>
  <r>
    <s v="ORD-0045"/>
    <x v="41"/>
    <s v="Usman Malik"/>
    <x v="3"/>
    <x v="5"/>
    <x v="1"/>
    <n v="8"/>
    <n v="49300"/>
    <n v="394400"/>
  </r>
  <r>
    <s v="ORD-0250"/>
    <x v="2"/>
    <s v="Hassan Shah"/>
    <x v="4"/>
    <x v="1"/>
    <x v="1"/>
    <n v="2"/>
    <n v="35300"/>
    <n v="70600"/>
  </r>
  <r>
    <s v="ORD-0395"/>
    <x v="95"/>
    <s v="Saad Khan"/>
    <x v="5"/>
    <x v="7"/>
    <x v="3"/>
    <n v="8"/>
    <n v="19500"/>
    <n v="156000"/>
  </r>
  <r>
    <s v="ORD-0933"/>
    <x v="83"/>
    <s v="Hamza Raza"/>
    <x v="3"/>
    <x v="1"/>
    <x v="1"/>
    <n v="1"/>
    <n v="38500"/>
    <n v="38500"/>
  </r>
  <r>
    <s v="ORD-0997"/>
    <x v="62"/>
    <s v="Ali Khan"/>
    <x v="0"/>
    <x v="0"/>
    <x v="0"/>
    <n v="4"/>
    <n v="2600"/>
    <n v="10400"/>
  </r>
  <r>
    <s v="ORD-0958"/>
    <x v="61"/>
    <s v="Ayesha Noor"/>
    <x v="3"/>
    <x v="9"/>
    <x v="3"/>
    <n v="1"/>
    <n v="31200"/>
    <n v="31200"/>
  </r>
  <r>
    <s v="ORD-0199"/>
    <x v="96"/>
    <s v="Saad Khan"/>
    <x v="4"/>
    <x v="0"/>
    <x v="0"/>
    <n v="2"/>
    <n v="2600"/>
    <n v="5200"/>
  </r>
  <r>
    <s v="ORD-0540"/>
    <x v="97"/>
    <s v="Usman Malik"/>
    <x v="4"/>
    <x v="2"/>
    <x v="2"/>
    <n v="7"/>
    <n v="26400"/>
    <n v="184800"/>
  </r>
  <r>
    <s v="ORD-0356"/>
    <x v="53"/>
    <s v="Zain Ahmed"/>
    <x v="5"/>
    <x v="9"/>
    <x v="3"/>
    <n v="8"/>
    <n v="27900"/>
    <n v="223200"/>
  </r>
  <r>
    <s v="ORD-0324"/>
    <x v="80"/>
    <s v="Danish Raza"/>
    <x v="5"/>
    <x v="7"/>
    <x v="3"/>
    <n v="6"/>
    <n v="19500"/>
    <n v="117000"/>
  </r>
  <r>
    <s v="ORD-0946"/>
    <x v="15"/>
    <s v="Fatima Ali"/>
    <x v="2"/>
    <x v="5"/>
    <x v="1"/>
    <n v="6"/>
    <n v="56800"/>
    <n v="340800"/>
  </r>
  <r>
    <s v="ORD-0768"/>
    <x v="98"/>
    <s v="Fatima Ali"/>
    <x v="5"/>
    <x v="2"/>
    <x v="2"/>
    <n v="2"/>
    <n v="31800"/>
    <n v="63600"/>
  </r>
  <r>
    <s v="ORD-0236"/>
    <x v="99"/>
    <s v="Ahmed Ali"/>
    <x v="0"/>
    <x v="3"/>
    <x v="1"/>
    <n v="3"/>
    <n v="76300"/>
    <n v="228900"/>
  </r>
  <r>
    <s v="ORD-0977"/>
    <x v="53"/>
    <s v="Ahmed Ali"/>
    <x v="3"/>
    <x v="9"/>
    <x v="3"/>
    <n v="5"/>
    <n v="26000"/>
    <n v="130000"/>
  </r>
  <r>
    <s v="ORD-0945"/>
    <x v="100"/>
    <s v="Hassan Shah"/>
    <x v="1"/>
    <x v="2"/>
    <x v="2"/>
    <n v="6"/>
    <n v="28400"/>
    <n v="170400"/>
  </r>
  <r>
    <s v="ORD-0939"/>
    <x v="74"/>
    <s v="Ali Khan"/>
    <x v="2"/>
    <x v="6"/>
    <x v="0"/>
    <n v="1"/>
    <n v="7000"/>
    <n v="7000"/>
  </r>
  <r>
    <s v="ORD-0903"/>
    <x v="68"/>
    <s v="Bilal Ahmed"/>
    <x v="1"/>
    <x v="9"/>
    <x v="3"/>
    <n v="5"/>
    <n v="28100"/>
    <n v="140500"/>
  </r>
  <r>
    <s v="ORD-0300"/>
    <x v="101"/>
    <s v="Danish Raza"/>
    <x v="4"/>
    <x v="3"/>
    <x v="1"/>
    <n v="4"/>
    <n v="79500"/>
    <n v="318000"/>
  </r>
  <r>
    <s v="ORD-0061"/>
    <x v="80"/>
    <s v="Saad Khan"/>
    <x v="1"/>
    <x v="6"/>
    <x v="0"/>
    <n v="3"/>
    <n v="7000"/>
    <n v="21000"/>
  </r>
  <r>
    <s v="ORD-0328"/>
    <x v="74"/>
    <s v="Zain Ahmed"/>
    <x v="5"/>
    <x v="7"/>
    <x v="3"/>
    <n v="5"/>
    <n v="19500"/>
    <n v="97500"/>
  </r>
  <r>
    <s v="ORD-0527"/>
    <x v="75"/>
    <s v="Usman Malik"/>
    <x v="0"/>
    <x v="4"/>
    <x v="0"/>
    <n v="8"/>
    <n v="4400"/>
    <n v="35200"/>
  </r>
  <r>
    <s v="ORD-0599"/>
    <x v="9"/>
    <s v="Ahmed Ali"/>
    <x v="1"/>
    <x v="9"/>
    <x v="3"/>
    <n v="4"/>
    <n v="25800"/>
    <n v="103200"/>
  </r>
  <r>
    <s v="ORD-0814"/>
    <x v="64"/>
    <s v="Fatima Ali"/>
    <x v="1"/>
    <x v="3"/>
    <x v="1"/>
    <n v="3"/>
    <n v="78800"/>
    <n v="236400"/>
  </r>
  <r>
    <s v="ORD-0936"/>
    <x v="102"/>
    <s v="Ahmed Ali"/>
    <x v="2"/>
    <x v="3"/>
    <x v="1"/>
    <n v="6"/>
    <n v="77900"/>
    <n v="467400"/>
  </r>
  <r>
    <s v="ORD-0981"/>
    <x v="37"/>
    <s v="Fatima Ali"/>
    <x v="0"/>
    <x v="1"/>
    <x v="1"/>
    <n v="3"/>
    <n v="31800"/>
    <n v="95400"/>
  </r>
  <r>
    <s v="ORD-0596"/>
    <x v="16"/>
    <s v="Ahmed Ali"/>
    <x v="1"/>
    <x v="7"/>
    <x v="3"/>
    <n v="4"/>
    <n v="22900"/>
    <n v="91600"/>
  </r>
  <r>
    <s v="ORD-0542"/>
    <x v="17"/>
    <s v="Bilal Ahmed"/>
    <x v="2"/>
    <x v="6"/>
    <x v="0"/>
    <n v="1"/>
    <n v="7200"/>
    <n v="7200"/>
  </r>
  <r>
    <s v="ORD-0781"/>
    <x v="32"/>
    <s v="Zain Ahmed"/>
    <x v="5"/>
    <x v="7"/>
    <x v="3"/>
    <n v="3"/>
    <n v="19500"/>
    <n v="58500"/>
  </r>
  <r>
    <s v="ORD-0306"/>
    <x v="103"/>
    <s v="Hassan Shah"/>
    <x v="1"/>
    <x v="8"/>
    <x v="0"/>
    <n v="7"/>
    <n v="7200"/>
    <n v="50400"/>
  </r>
  <r>
    <s v="ORD-0319"/>
    <x v="25"/>
    <s v="Usman Malik"/>
    <x v="2"/>
    <x v="4"/>
    <x v="0"/>
    <n v="6"/>
    <n v="4500"/>
    <n v="27000"/>
  </r>
  <r>
    <s v="ORD-0482"/>
    <x v="104"/>
    <s v="Ali Khan"/>
    <x v="3"/>
    <x v="5"/>
    <x v="1"/>
    <n v="6"/>
    <n v="62700"/>
    <n v="376200"/>
  </r>
  <r>
    <s v="ORD-0494"/>
    <x v="50"/>
    <s v="Usman Malik"/>
    <x v="2"/>
    <x v="9"/>
    <x v="3"/>
    <n v="7"/>
    <n v="29000"/>
    <n v="203000"/>
  </r>
  <r>
    <s v="ORD-0266"/>
    <x v="35"/>
    <s v="Danish Raza"/>
    <x v="1"/>
    <x v="2"/>
    <x v="2"/>
    <n v="5"/>
    <n v="31900"/>
    <n v="159500"/>
  </r>
  <r>
    <s v="ORD-0111"/>
    <x v="105"/>
    <s v="Zain Ahmed"/>
    <x v="3"/>
    <x v="1"/>
    <x v="1"/>
    <n v="3"/>
    <n v="39900"/>
    <n v="119700"/>
  </r>
  <r>
    <s v="ORD-0469"/>
    <x v="104"/>
    <s v="Danish Raza"/>
    <x v="5"/>
    <x v="5"/>
    <x v="1"/>
    <n v="6"/>
    <n v="54000"/>
    <n v="324000"/>
  </r>
  <r>
    <s v="ORD-0709"/>
    <x v="106"/>
    <s v="Hassan Shah"/>
    <x v="4"/>
    <x v="8"/>
    <x v="0"/>
    <n v="5"/>
    <n v="8900"/>
    <n v="44500"/>
  </r>
  <r>
    <s v="ORD-0588"/>
    <x v="87"/>
    <s v="Ahmed Ali"/>
    <x v="3"/>
    <x v="9"/>
    <x v="3"/>
    <n v="5"/>
    <n v="33800"/>
    <n v="169000"/>
  </r>
  <r>
    <s v="ORD-0257"/>
    <x v="107"/>
    <s v="Ali Khan"/>
    <x v="0"/>
    <x v="8"/>
    <x v="0"/>
    <n v="1"/>
    <n v="6900"/>
    <n v="6900"/>
  </r>
  <r>
    <s v="ORD-0261"/>
    <x v="108"/>
    <s v="Sara Khan"/>
    <x v="1"/>
    <x v="7"/>
    <x v="3"/>
    <n v="3"/>
    <n v="19000"/>
    <n v="57000"/>
  </r>
  <r>
    <s v="ORD-0544"/>
    <x v="72"/>
    <s v="Sara Khan"/>
    <x v="0"/>
    <x v="0"/>
    <x v="0"/>
    <n v="8"/>
    <n v="2400"/>
    <n v="19200"/>
  </r>
  <r>
    <s v="ORD-0406"/>
    <x v="109"/>
    <s v="Usman Malik"/>
    <x v="1"/>
    <x v="7"/>
    <x v="3"/>
    <n v="7"/>
    <n v="22200"/>
    <n v="155400"/>
  </r>
  <r>
    <s v="ORD-0429"/>
    <x v="110"/>
    <s v="Hassan Shah"/>
    <x v="2"/>
    <x v="9"/>
    <x v="3"/>
    <n v="7"/>
    <n v="28200"/>
    <n v="197400"/>
  </r>
  <r>
    <s v="ORD-0676"/>
    <x v="111"/>
    <s v="Saad Khan"/>
    <x v="4"/>
    <x v="4"/>
    <x v="0"/>
    <n v="5"/>
    <n v="4000"/>
    <n v="20000"/>
  </r>
  <r>
    <s v="ORD-0502"/>
    <x v="112"/>
    <s v="Danish Raza"/>
    <x v="2"/>
    <x v="4"/>
    <x v="0"/>
    <n v="8"/>
    <n v="4700"/>
    <n v="37600"/>
  </r>
  <r>
    <s v="ORD-0433"/>
    <x v="0"/>
    <s v="Danish Raza"/>
    <x v="3"/>
    <x v="7"/>
    <x v="3"/>
    <n v="8"/>
    <n v="19900"/>
    <n v="159200"/>
  </r>
  <r>
    <s v="ORD-0731"/>
    <x v="8"/>
    <s v="Ali Khan"/>
    <x v="4"/>
    <x v="3"/>
    <x v="1"/>
    <n v="3"/>
    <n v="84800"/>
    <n v="254400"/>
  </r>
  <r>
    <s v="ORD-0138"/>
    <x v="113"/>
    <s v="Sara Khan"/>
    <x v="1"/>
    <x v="9"/>
    <x v="3"/>
    <n v="4"/>
    <n v="32500"/>
    <n v="130000"/>
  </r>
  <r>
    <s v="ORD-0358"/>
    <x v="114"/>
    <s v="Usman Malik"/>
    <x v="3"/>
    <x v="9"/>
    <x v="3"/>
    <n v="7"/>
    <n v="26800"/>
    <n v="187600"/>
  </r>
  <r>
    <s v="ORD-0928"/>
    <x v="26"/>
    <s v="Fatima Ali"/>
    <x v="1"/>
    <x v="6"/>
    <x v="0"/>
    <n v="6"/>
    <n v="6400"/>
    <n v="38400"/>
  </r>
  <r>
    <s v="ORD-0222"/>
    <x v="79"/>
    <s v="Hassan Shah"/>
    <x v="1"/>
    <x v="8"/>
    <x v="0"/>
    <n v="7"/>
    <n v="7800"/>
    <n v="54600"/>
  </r>
  <r>
    <s v="ORD-0753"/>
    <x v="103"/>
    <s v="Usman Malik"/>
    <x v="0"/>
    <x v="6"/>
    <x v="0"/>
    <n v="4"/>
    <n v="6700"/>
    <n v="26800"/>
  </r>
  <r>
    <s v="ORD-0594"/>
    <x v="115"/>
    <s v="Sara Khan"/>
    <x v="3"/>
    <x v="6"/>
    <x v="0"/>
    <n v="8"/>
    <n v="6300"/>
    <n v="50400"/>
  </r>
  <r>
    <s v="ORD-0804"/>
    <x v="116"/>
    <s v="Danish Raza"/>
    <x v="4"/>
    <x v="2"/>
    <x v="2"/>
    <n v="2"/>
    <n v="29700"/>
    <n v="59400"/>
  </r>
  <r>
    <s v="ORD-0364"/>
    <x v="28"/>
    <s v="Bilal Ahmed"/>
    <x v="5"/>
    <x v="6"/>
    <x v="0"/>
    <n v="8"/>
    <n v="5900"/>
    <n v="47200"/>
  </r>
  <r>
    <s v="ORD-0523"/>
    <x v="117"/>
    <s v="Usman Malik"/>
    <x v="1"/>
    <x v="2"/>
    <x v="2"/>
    <n v="2"/>
    <n v="30500"/>
    <n v="61000"/>
  </r>
  <r>
    <s v="ORD-0209"/>
    <x v="80"/>
    <s v="Usman Malik"/>
    <x v="5"/>
    <x v="0"/>
    <x v="0"/>
    <n v="2"/>
    <n v="2700"/>
    <n v="5400"/>
  </r>
  <r>
    <s v="ORD-0778"/>
    <x v="70"/>
    <s v="Ali  Khan"/>
    <x v="1"/>
    <x v="6"/>
    <x v="0"/>
    <n v="8"/>
    <n v="6300"/>
    <n v="50400"/>
  </r>
  <r>
    <s v="ORD-0335"/>
    <x v="95"/>
    <s v="Hassan Shah"/>
    <x v="5"/>
    <x v="8"/>
    <x v="0"/>
    <n v="7"/>
    <n v="8000"/>
    <n v="56000"/>
  </r>
  <r>
    <s v="ORD-0211"/>
    <x v="0"/>
    <s v="Bilal Ahmed"/>
    <x v="2"/>
    <x v="6"/>
    <x v="0"/>
    <n v="3"/>
    <n v="7500"/>
    <n v="22500"/>
  </r>
  <r>
    <s v="ORD-0351"/>
    <x v="21"/>
    <s v="Hamza Raza"/>
    <x v="4"/>
    <x v="8"/>
    <x v="0"/>
    <n v="8"/>
    <n v="7200"/>
    <n v="57600"/>
  </r>
  <r>
    <s v="ORD-0079"/>
    <x v="41"/>
    <s v="Fatima Ali"/>
    <x v="2"/>
    <x v="5"/>
    <x v="1"/>
    <n v="6"/>
    <n v="53400"/>
    <n v="320400"/>
  </r>
  <r>
    <s v="ORD-0030"/>
    <x v="14"/>
    <s v="Danish Raza"/>
    <x v="0"/>
    <x v="7"/>
    <x v="3"/>
    <n v="4"/>
    <n v="23400"/>
    <n v="93600"/>
  </r>
  <r>
    <s v="ORD-0281"/>
    <x v="117"/>
    <s v="Fatima Ali"/>
    <x v="4"/>
    <x v="2"/>
    <x v="2"/>
    <n v="1"/>
    <n v="27300"/>
    <n v="27300"/>
  </r>
  <r>
    <s v="ORD-0508"/>
    <x v="118"/>
    <s v="Sara Khan"/>
    <x v="5"/>
    <x v="6"/>
    <x v="0"/>
    <n v="4"/>
    <n v="6600"/>
    <n v="26400"/>
  </r>
  <r>
    <s v="ORD-0639"/>
    <x v="119"/>
    <s v="Fatima Ali"/>
    <x v="5"/>
    <x v="1"/>
    <x v="1"/>
    <n v="7"/>
    <n v="39200"/>
    <n v="274400"/>
  </r>
  <r>
    <s v="ORD-0802"/>
    <x v="43"/>
    <s v="Ahmed Ali"/>
    <x v="0"/>
    <x v="0"/>
    <x v="0"/>
    <n v="2"/>
    <n v="2300"/>
    <n v="4600"/>
  </r>
  <r>
    <s v="ORD-0290"/>
    <x v="69"/>
    <s v="Hamza Raza"/>
    <x v="0"/>
    <x v="9"/>
    <x v="3"/>
    <n v="6"/>
    <n v="27700"/>
    <n v="166200"/>
  </r>
  <r>
    <s v="ORD-0166"/>
    <x v="51"/>
    <s v="Zain Ahmed"/>
    <x v="5"/>
    <x v="6"/>
    <x v="0"/>
    <n v="1"/>
    <n v="6100"/>
    <n v="6100"/>
  </r>
  <r>
    <s v="ORD-0856"/>
    <x v="34"/>
    <s v="Ali Khan"/>
    <x v="5"/>
    <x v="1"/>
    <x v="1"/>
    <n v="7"/>
    <n v="36800"/>
    <n v="257600"/>
  </r>
  <r>
    <s v="ORD-0498"/>
    <x v="37"/>
    <s v="Zain Ahmed"/>
    <x v="2"/>
    <x v="1"/>
    <x v="1"/>
    <n v="6"/>
    <n v="33400"/>
    <n v="200400"/>
  </r>
  <r>
    <s v="ORD-0463"/>
    <x v="120"/>
    <s v="Usman Malik"/>
    <x v="5"/>
    <x v="5"/>
    <x v="1"/>
    <n v="2"/>
    <n v="58700"/>
    <n v="117400"/>
  </r>
  <r>
    <s v="ORD-0066"/>
    <x v="121"/>
    <s v="Ayesha Noor"/>
    <x v="3"/>
    <x v="4"/>
    <x v="0"/>
    <n v="4"/>
    <n v="5000"/>
    <n v="20000"/>
  </r>
  <r>
    <s v="ORD-0142"/>
    <x v="122"/>
    <s v="Bilal Ahmed"/>
    <x v="3"/>
    <x v="5"/>
    <x v="1"/>
    <n v="8"/>
    <n v="58100"/>
    <n v="464800"/>
  </r>
  <r>
    <s v="ORD-0276"/>
    <x v="88"/>
    <s v="Ayesha Noor"/>
    <x v="5"/>
    <x v="9"/>
    <x v="3"/>
    <n v="8"/>
    <n v="29700"/>
    <n v="237600"/>
  </r>
  <r>
    <s v="ORD-0831"/>
    <x v="123"/>
    <s v="Zain Ahmed"/>
    <x v="4"/>
    <x v="6"/>
    <x v="0"/>
    <n v="5"/>
    <n v="7200"/>
    <n v="36000"/>
  </r>
  <r>
    <s v="ORD-0582"/>
    <x v="100"/>
    <s v="Hamza Raza"/>
    <x v="3"/>
    <x v="6"/>
    <x v="0"/>
    <n v="1"/>
    <n v="5900"/>
    <n v="5900"/>
  </r>
  <r>
    <s v="ORD-0465"/>
    <x v="124"/>
    <s v="Hamza Raza"/>
    <x v="1"/>
    <x v="6"/>
    <x v="0"/>
    <n v="5"/>
    <n v="6500"/>
    <n v="32500"/>
  </r>
  <r>
    <s v="ORD-0668"/>
    <x v="70"/>
    <s v="Hassan Shah"/>
    <x v="5"/>
    <x v="9"/>
    <x v="3"/>
    <n v="2"/>
    <n v="25600"/>
    <n v="51200"/>
  </r>
  <r>
    <s v="ORD-0320"/>
    <x v="80"/>
    <s v="Zain Ahmed"/>
    <x v="4"/>
    <x v="0"/>
    <x v="0"/>
    <n v="8"/>
    <n v="2100"/>
    <n v="16800"/>
  </r>
  <r>
    <s v="ORD-0843"/>
    <x v="125"/>
    <s v="Fatima Ali"/>
    <x v="0"/>
    <x v="0"/>
    <x v="0"/>
    <n v="1"/>
    <n v="2700"/>
    <n v="2700"/>
  </r>
  <r>
    <s v="ORD-0307"/>
    <x v="126"/>
    <s v="Bilal Ahmed"/>
    <x v="0"/>
    <x v="3"/>
    <x v="1"/>
    <n v="6"/>
    <n v="87900"/>
    <n v="527400"/>
  </r>
  <r>
    <s v="ORD-0308"/>
    <x v="127"/>
    <s v="Hassan Shah"/>
    <x v="5"/>
    <x v="3"/>
    <x v="1"/>
    <n v="2"/>
    <n v="89400"/>
    <n v="178800"/>
  </r>
  <r>
    <s v="ORD-0824"/>
    <x v="128"/>
    <s v="Saad Khan"/>
    <x v="5"/>
    <x v="7"/>
    <x v="3"/>
    <n v="7"/>
    <n v="21100"/>
    <n v="147700"/>
  </r>
  <r>
    <s v="ORD-0334"/>
    <x v="44"/>
    <s v="Ahmed Ali"/>
    <x v="2"/>
    <x v="5"/>
    <x v="1"/>
    <n v="5"/>
    <n v="54200"/>
    <n v="271000"/>
  </r>
  <r>
    <s v="ORD-0050"/>
    <x v="95"/>
    <s v="Danish Raza"/>
    <x v="0"/>
    <x v="5"/>
    <x v="1"/>
    <n v="6"/>
    <n v="62200"/>
    <n v="373200"/>
  </r>
  <r>
    <s v="ORD-0738"/>
    <x v="129"/>
    <s v="Ayesha Noor"/>
    <x v="5"/>
    <x v="9"/>
    <x v="3"/>
    <n v="6"/>
    <n v="30000"/>
    <n v="180000"/>
  </r>
  <r>
    <s v="ORD-0003"/>
    <x v="130"/>
    <s v="Fatima Ali"/>
    <x v="2"/>
    <x v="0"/>
    <x v="0"/>
    <n v="4"/>
    <n v="2500"/>
    <n v="10000"/>
  </r>
  <r>
    <s v="ORD-0546"/>
    <x v="24"/>
    <s v="Ayesha Noor"/>
    <x v="4"/>
    <x v="4"/>
    <x v="0"/>
    <n v="7"/>
    <n v="5000"/>
    <n v="35000"/>
  </r>
  <r>
    <s v="ORD-0353"/>
    <x v="125"/>
    <s v="Fatima Ali"/>
    <x v="1"/>
    <x v="9"/>
    <x v="3"/>
    <n v="6"/>
    <n v="30100"/>
    <n v="180600"/>
  </r>
  <r>
    <s v="ORD-0908"/>
    <x v="131"/>
    <s v="Usman Malik"/>
    <x v="4"/>
    <x v="0"/>
    <x v="0"/>
    <n v="2"/>
    <n v="2200"/>
    <n v="4400"/>
  </r>
  <r>
    <s v="ORD-0590"/>
    <x v="132"/>
    <s v="Ayesha Noor"/>
    <x v="0"/>
    <x v="3"/>
    <x v="1"/>
    <n v="8"/>
    <n v="73500"/>
    <n v="588000"/>
  </r>
  <r>
    <s v="ORD-0347"/>
    <x v="52"/>
    <s v="Fatima Ali"/>
    <x v="4"/>
    <x v="6"/>
    <x v="0"/>
    <n v="2"/>
    <n v="6300"/>
    <n v="12600"/>
  </r>
  <r>
    <s v="ORD-0998"/>
    <x v="133"/>
    <s v="Sara Khan"/>
    <x v="0"/>
    <x v="8"/>
    <x v="0"/>
    <n v="3"/>
    <n v="8000"/>
    <n v="24000"/>
  </r>
  <r>
    <s v="ORD-0484"/>
    <x v="134"/>
    <s v="Sara Khan"/>
    <x v="0"/>
    <x v="9"/>
    <x v="3"/>
    <n v="4"/>
    <n v="29500"/>
    <n v="118000"/>
  </r>
  <r>
    <s v="ORD-0579"/>
    <x v="98"/>
    <s v="Sara Khan"/>
    <x v="1"/>
    <x v="4"/>
    <x v="0"/>
    <n v="2"/>
    <n v="4000"/>
    <n v="8000"/>
  </r>
  <r>
    <s v="ORD-0034"/>
    <x v="30"/>
    <s v="Ali Khan"/>
    <x v="5"/>
    <x v="0"/>
    <x v="0"/>
    <n v="2"/>
    <n v="2800"/>
    <n v="5600"/>
  </r>
  <r>
    <s v="ORD-0032"/>
    <x v="59"/>
    <s v="Fatima Ali"/>
    <x v="2"/>
    <x v="0"/>
    <x v="0"/>
    <n v="2"/>
    <n v="2400"/>
    <n v="4800"/>
  </r>
  <r>
    <s v="ORD-0232"/>
    <x v="15"/>
    <s v="Danish Raza"/>
    <x v="1"/>
    <x v="3"/>
    <x v="1"/>
    <n v="3"/>
    <n v="94400"/>
    <n v="283200"/>
  </r>
  <r>
    <s v="ORD-0751"/>
    <x v="101"/>
    <s v="Ayesha Noor"/>
    <x v="1"/>
    <x v="7"/>
    <x v="3"/>
    <n v="5"/>
    <n v="23300"/>
    <n v="116500"/>
  </r>
  <r>
    <s v="ORD-0193"/>
    <x v="73"/>
    <s v="Sara Khan"/>
    <x v="4"/>
    <x v="7"/>
    <x v="3"/>
    <n v="5"/>
    <n v="24200"/>
    <n v="121000"/>
  </r>
  <r>
    <s v="ORD-0514"/>
    <x v="97"/>
    <s v="Usman Malik"/>
    <x v="2"/>
    <x v="9"/>
    <x v="3"/>
    <n v="7"/>
    <n v="27000"/>
    <n v="189000"/>
  </r>
  <r>
    <s v="ORD-0004"/>
    <x v="59"/>
    <s v="Bilal Ahmed"/>
    <x v="3"/>
    <x v="7"/>
    <x v="3"/>
    <n v="7"/>
    <n v="20200"/>
    <n v="141400"/>
  </r>
  <r>
    <s v="ORD-0205"/>
    <x v="135"/>
    <s v="Hassan Shah"/>
    <x v="3"/>
    <x v="2"/>
    <x v="2"/>
    <n v="4"/>
    <n v="27500"/>
    <n v="110000"/>
  </r>
  <r>
    <s v="ORD-0434"/>
    <x v="87"/>
    <s v="Danish Raza"/>
    <x v="3"/>
    <x v="7"/>
    <x v="3"/>
    <n v="1"/>
    <n v="24200"/>
    <n v="24200"/>
  </r>
  <r>
    <s v="ORD-0577"/>
    <x v="134"/>
    <s v="Saad Khan"/>
    <x v="0"/>
    <x v="6"/>
    <x v="0"/>
    <n v="6"/>
    <n v="7300"/>
    <n v="43800"/>
  </r>
  <r>
    <s v="ORD-0982"/>
    <x v="136"/>
    <s v="Bilal Ahmed"/>
    <x v="4"/>
    <x v="3"/>
    <x v="1"/>
    <n v="1"/>
    <n v="78600"/>
    <n v="78600"/>
  </r>
  <r>
    <s v="ORD-0110"/>
    <x v="29"/>
    <s v="Saad Khan"/>
    <x v="0"/>
    <x v="6"/>
    <x v="0"/>
    <n v="6"/>
    <n v="5900"/>
    <n v="35400"/>
  </r>
  <r>
    <s v="ORD-0600"/>
    <x v="43"/>
    <s v="Hamza Raza"/>
    <x v="3"/>
    <x v="7"/>
    <x v="3"/>
    <n v="6"/>
    <n v="23800"/>
    <n v="142800"/>
  </r>
  <r>
    <s v="ORD-0078"/>
    <x v="51"/>
    <s v="Fatima Ali"/>
    <x v="4"/>
    <x v="2"/>
    <x v="2"/>
    <n v="2"/>
    <n v="29800"/>
    <n v="59600"/>
  </r>
  <r>
    <s v="ORD-0085"/>
    <x v="135"/>
    <s v="Danish Raza"/>
    <x v="4"/>
    <x v="2"/>
    <x v="2"/>
    <n v="2"/>
    <n v="30700"/>
    <n v="61400"/>
  </r>
  <r>
    <s v="ORD-0524"/>
    <x v="88"/>
    <s v="Hassan Shah"/>
    <x v="5"/>
    <x v="0"/>
    <x v="0"/>
    <n v="8"/>
    <n v="2300"/>
    <n v="18400"/>
  </r>
  <r>
    <s v="ORD-0083"/>
    <x v="40"/>
    <s v="Fatima Ali"/>
    <x v="1"/>
    <x v="8"/>
    <x v="0"/>
    <n v="8"/>
    <n v="7900"/>
    <n v="63200"/>
  </r>
  <r>
    <s v="ORD-0255"/>
    <x v="61"/>
    <s v="Bilal Ahmed"/>
    <x v="4"/>
    <x v="8"/>
    <x v="0"/>
    <n v="2"/>
    <n v="7900"/>
    <n v="15800"/>
  </r>
  <r>
    <s v="ORD-0965"/>
    <x v="77"/>
    <s v="Usman Malik"/>
    <x v="2"/>
    <x v="9"/>
    <x v="3"/>
    <n v="4"/>
    <n v="30600"/>
    <n v="122400"/>
  </r>
  <r>
    <s v="ORD-0409"/>
    <x v="50"/>
    <s v="Ahmed Ali"/>
    <x v="2"/>
    <x v="3"/>
    <x v="1"/>
    <n v="8"/>
    <n v="87500"/>
    <n v="700000"/>
  </r>
  <r>
    <s v="ORD-0653"/>
    <x v="40"/>
    <s v="Ayesha Noor"/>
    <x v="0"/>
    <x v="5"/>
    <x v="1"/>
    <n v="2"/>
    <n v="49900"/>
    <n v="99800"/>
  </r>
  <r>
    <s v="ORD-0877"/>
    <x v="120"/>
    <s v="Fatima Ali"/>
    <x v="4"/>
    <x v="2"/>
    <x v="2"/>
    <n v="5"/>
    <n v="26800"/>
    <n v="134000"/>
  </r>
  <r>
    <s v="ORD-0918"/>
    <x v="57"/>
    <s v="Zain Ahmed"/>
    <x v="0"/>
    <x v="5"/>
    <x v="1"/>
    <n v="4"/>
    <n v="46900"/>
    <n v="187600"/>
  </r>
  <r>
    <s v="ORD-0437"/>
    <x v="137"/>
    <s v="Ahmed Ali"/>
    <x v="5"/>
    <x v="9"/>
    <x v="3"/>
    <n v="8"/>
    <n v="31400"/>
    <n v="251200"/>
  </r>
  <r>
    <s v="ORD-0006"/>
    <x v="62"/>
    <s v="Hassan Shah"/>
    <x v="5"/>
    <x v="1"/>
    <x v="1"/>
    <n v="2"/>
    <n v="33700"/>
    <n v="67400"/>
  </r>
  <r>
    <s v="ORD-0405"/>
    <x v="138"/>
    <s v="Bilal Ahmed"/>
    <x v="1"/>
    <x v="4"/>
    <x v="0"/>
    <n v="4"/>
    <n v="5000"/>
    <n v="20000"/>
  </r>
  <r>
    <s v="ORD-0468"/>
    <x v="117"/>
    <s v="Hassan Shah"/>
    <x v="5"/>
    <x v="4"/>
    <x v="0"/>
    <n v="5"/>
    <n v="3800"/>
    <n v="19000"/>
  </r>
  <r>
    <s v="ORD-0098"/>
    <x v="139"/>
    <s v="Ayesha Noor"/>
    <x v="5"/>
    <x v="5"/>
    <x v="1"/>
    <n v="1"/>
    <n v="50200"/>
    <n v="50200"/>
  </r>
  <r>
    <s v="ORD-0559"/>
    <x v="125"/>
    <s v="Hassan Shah"/>
    <x v="3"/>
    <x v="6"/>
    <x v="0"/>
    <n v="2"/>
    <n v="6500"/>
    <n v="13000"/>
  </r>
  <r>
    <s v="ORD-0360"/>
    <x v="45"/>
    <s v="Fatima Ali"/>
    <x v="5"/>
    <x v="4"/>
    <x v="0"/>
    <n v="7"/>
    <n v="4800"/>
    <n v="33600"/>
  </r>
  <r>
    <s v="ORD-0921"/>
    <x v="67"/>
    <s v="Fatima Ali"/>
    <x v="3"/>
    <x v="3"/>
    <x v="1"/>
    <n v="6"/>
    <n v="88700"/>
    <n v="532200"/>
  </r>
  <r>
    <s v="ORD-0267"/>
    <x v="140"/>
    <s v="Danish Raza"/>
    <x v="4"/>
    <x v="4"/>
    <x v="0"/>
    <n v="2"/>
    <n v="4200"/>
    <n v="8400"/>
  </r>
  <r>
    <s v="ORD-0737"/>
    <x v="111"/>
    <s v="Ali Khan"/>
    <x v="1"/>
    <x v="9"/>
    <x v="3"/>
    <n v="3"/>
    <n v="32100"/>
    <n v="96300"/>
  </r>
  <r>
    <s v="ORD-0383"/>
    <x v="26"/>
    <s v="Ayesha Noor"/>
    <x v="1"/>
    <x v="0"/>
    <x v="0"/>
    <n v="3"/>
    <n v="2600"/>
    <n v="7800"/>
  </r>
  <r>
    <s v="ORD-0693"/>
    <x v="83"/>
    <s v="Usman Malik"/>
    <x v="0"/>
    <x v="0"/>
    <x v="0"/>
    <n v="4"/>
    <n v="2700"/>
    <n v="10800"/>
  </r>
  <r>
    <s v="ORD-0412"/>
    <x v="141"/>
    <s v="Danish Raza"/>
    <x v="5"/>
    <x v="9"/>
    <x v="3"/>
    <n v="6"/>
    <n v="27600"/>
    <n v="165600"/>
  </r>
  <r>
    <s v="ORD-0885"/>
    <x v="142"/>
    <s v="Ahmed Ali"/>
    <x v="2"/>
    <x v="2"/>
    <x v="2"/>
    <n v="8"/>
    <n v="27300"/>
    <n v="218400"/>
  </r>
  <r>
    <s v="ORD-0119"/>
    <x v="52"/>
    <s v="Usman Malik"/>
    <x v="1"/>
    <x v="0"/>
    <x v="0"/>
    <n v="2"/>
    <n v="2300"/>
    <n v="4600"/>
  </r>
  <r>
    <s v="ORD-0431"/>
    <x v="143"/>
    <s v="Saad Khan"/>
    <x v="1"/>
    <x v="6"/>
    <x v="0"/>
    <n v="8"/>
    <n v="7400"/>
    <n v="59200"/>
  </r>
  <r>
    <s v="ORD-0251"/>
    <x v="73"/>
    <s v="Usman Malik"/>
    <x v="2"/>
    <x v="4"/>
    <x v="0"/>
    <n v="4"/>
    <n v="4000"/>
    <n v="16000"/>
  </r>
  <r>
    <s v="ORD-0343"/>
    <x v="101"/>
    <s v="Ahmed Ali"/>
    <x v="4"/>
    <x v="0"/>
    <x v="0"/>
    <n v="4"/>
    <n v="2600"/>
    <n v="10400"/>
  </r>
  <r>
    <s v="ORD-0010"/>
    <x v="76"/>
    <s v="Danish Raza"/>
    <x v="4"/>
    <x v="0"/>
    <x v="0"/>
    <n v="2"/>
    <n v="2400"/>
    <n v="4800"/>
  </r>
  <r>
    <s v="ORD-0197"/>
    <x v="23"/>
    <s v="Ali Khan"/>
    <x v="0"/>
    <x v="6"/>
    <x v="0"/>
    <n v="7"/>
    <n v="7100"/>
    <n v="49700"/>
  </r>
  <r>
    <s v="ORD-0755"/>
    <x v="19"/>
    <s v="Saad Khan"/>
    <x v="5"/>
    <x v="4"/>
    <x v="0"/>
    <n v="2"/>
    <n v="4100"/>
    <n v="8200"/>
  </r>
  <r>
    <s v="ORD-0082"/>
    <x v="29"/>
    <s v="Danish Raza"/>
    <x v="4"/>
    <x v="0"/>
    <x v="0"/>
    <n v="7"/>
    <n v="2700"/>
    <n v="18900"/>
  </r>
  <r>
    <s v="ORD-0911"/>
    <x v="64"/>
    <s v="Usman Malik"/>
    <x v="4"/>
    <x v="5"/>
    <x v="1"/>
    <n v="2"/>
    <n v="55700"/>
    <n v="111400"/>
  </r>
  <r>
    <s v="ORD-0479"/>
    <x v="144"/>
    <s v="Zain Ahmed"/>
    <x v="0"/>
    <x v="3"/>
    <x v="1"/>
    <n v="6"/>
    <n v="90100"/>
    <n v="540600"/>
  </r>
  <r>
    <s v="ORD-0623"/>
    <x v="145"/>
    <s v="Ali Khan"/>
    <x v="4"/>
    <x v="3"/>
    <x v="1"/>
    <n v="6"/>
    <n v="78900"/>
    <n v="473400"/>
  </r>
  <r>
    <s v="ORD-0240"/>
    <x v="117"/>
    <s v="Zain Ahmed"/>
    <x v="3"/>
    <x v="7"/>
    <x v="3"/>
    <n v="5"/>
    <n v="19000"/>
    <n v="95000"/>
  </r>
  <r>
    <s v="ORD-0293"/>
    <x v="137"/>
    <s v="Hassan Shah"/>
    <x v="3"/>
    <x v="5"/>
    <x v="1"/>
    <n v="6"/>
    <n v="50900"/>
    <n v="305400"/>
  </r>
  <r>
    <s v="ORD-0212"/>
    <x v="62"/>
    <s v="Usman Malik"/>
    <x v="5"/>
    <x v="1"/>
    <x v="1"/>
    <n v="1"/>
    <n v="31100"/>
    <n v="31100"/>
  </r>
  <r>
    <s v="ORD-0721"/>
    <x v="140"/>
    <s v="Ayesha Noor"/>
    <x v="2"/>
    <x v="7"/>
    <x v="3"/>
    <n v="4"/>
    <n v="22300"/>
    <n v="89200"/>
  </r>
  <r>
    <s v="ORD-0362"/>
    <x v="27"/>
    <s v="Hamza Raza"/>
    <x v="1"/>
    <x v="2"/>
    <x v="2"/>
    <n v="8"/>
    <n v="28200"/>
    <n v="225600"/>
  </r>
  <r>
    <s v="ORD-0452"/>
    <x v="126"/>
    <s v="Usman Malik"/>
    <x v="3"/>
    <x v="1"/>
    <x v="1"/>
    <n v="6"/>
    <n v="30300"/>
    <n v="181800"/>
  </r>
  <r>
    <s v="ORD-0228"/>
    <x v="60"/>
    <s v="Usman Malik"/>
    <x v="3"/>
    <x v="7"/>
    <x v="3"/>
    <n v="4"/>
    <n v="19700"/>
    <n v="78800"/>
  </r>
  <r>
    <s v="ORD-0860"/>
    <x v="146"/>
    <s v="Ali Khan"/>
    <x v="0"/>
    <x v="2"/>
    <x v="2"/>
    <n v="3"/>
    <n v="30300"/>
    <n v="90900"/>
  </r>
  <r>
    <s v="ORD-0363"/>
    <x v="85"/>
    <s v="Saad Khan"/>
    <x v="0"/>
    <x v="7"/>
    <x v="3"/>
    <n v="6"/>
    <n v="22300"/>
    <n v="133800"/>
  </r>
  <r>
    <s v="ORD-0800"/>
    <x v="121"/>
    <s v="Zain Ahmed"/>
    <x v="5"/>
    <x v="4"/>
    <x v="0"/>
    <n v="3"/>
    <n v="4400"/>
    <n v="13200"/>
  </r>
  <r>
    <s v="ORD-0657"/>
    <x v="147"/>
    <s v="Saad Khan"/>
    <x v="2"/>
    <x v="3"/>
    <x v="1"/>
    <n v="8"/>
    <n v="73500"/>
    <n v="588000"/>
  </r>
  <r>
    <s v="ORD-0550"/>
    <x v="144"/>
    <s v="Zain Ahmed"/>
    <x v="2"/>
    <x v="5"/>
    <x v="1"/>
    <n v="2"/>
    <n v="57300"/>
    <n v="114600"/>
  </r>
  <r>
    <s v="ORD-0644"/>
    <x v="93"/>
    <s v="Fatima Ali"/>
    <x v="1"/>
    <x v="7"/>
    <x v="3"/>
    <n v="7"/>
    <n v="22300"/>
    <n v="156100"/>
  </r>
  <r>
    <s v="ORD-0581"/>
    <x v="146"/>
    <s v="Ali Khan"/>
    <x v="2"/>
    <x v="6"/>
    <x v="0"/>
    <n v="8"/>
    <n v="6000"/>
    <n v="48000"/>
  </r>
  <r>
    <s v="ORD-0926"/>
    <x v="148"/>
    <s v="Bilal Ahmed"/>
    <x v="5"/>
    <x v="4"/>
    <x v="0"/>
    <n v="6"/>
    <n v="4300"/>
    <n v="25800"/>
  </r>
  <r>
    <s v="ORD-0371"/>
    <x v="59"/>
    <s v="Usman Malik"/>
    <x v="2"/>
    <x v="6"/>
    <x v="0"/>
    <n v="3"/>
    <n v="5700"/>
    <n v="17100"/>
  </r>
  <r>
    <s v="ORD-0008"/>
    <x v="99"/>
    <s v="Hassan Shah"/>
    <x v="5"/>
    <x v="1"/>
    <x v="1"/>
    <n v="5"/>
    <n v="38500"/>
    <n v="192500"/>
  </r>
  <r>
    <s v="ORD-0156"/>
    <x v="149"/>
    <s v="Danish Raza"/>
    <x v="5"/>
    <x v="1"/>
    <x v="1"/>
    <n v="7"/>
    <n v="38800"/>
    <n v="271600"/>
  </r>
  <r>
    <s v="ORD-0543"/>
    <x v="41"/>
    <s v="Danish Raza"/>
    <x v="3"/>
    <x v="7"/>
    <x v="3"/>
    <n v="4"/>
    <n v="23600"/>
    <n v="94400"/>
  </r>
  <r>
    <s v="ORD-0443"/>
    <x v="82"/>
    <s v="Ahmed Ali"/>
    <x v="3"/>
    <x v="6"/>
    <x v="0"/>
    <n v="2"/>
    <n v="6800"/>
    <n v="13600"/>
  </r>
  <r>
    <s v="ORD-0820"/>
    <x v="150"/>
    <s v="Danish Raza"/>
    <x v="1"/>
    <x v="3"/>
    <x v="1"/>
    <n v="4"/>
    <n v="85600"/>
    <n v="342400"/>
  </r>
  <r>
    <s v="ORD-0399"/>
    <x v="151"/>
    <s v="Saad Khan"/>
    <x v="3"/>
    <x v="9"/>
    <x v="3"/>
    <n v="2"/>
    <n v="25900"/>
    <n v="51800"/>
  </r>
  <r>
    <s v="ORD-0782"/>
    <x v="151"/>
    <s v="Usman Malik"/>
    <x v="1"/>
    <x v="5"/>
    <x v="1"/>
    <n v="2"/>
    <n v="51800"/>
    <n v="103600"/>
  </r>
  <r>
    <s v="ORD-0568"/>
    <x v="152"/>
    <s v="Sara Khan"/>
    <x v="2"/>
    <x v="6"/>
    <x v="0"/>
    <n v="4"/>
    <n v="6400"/>
    <n v="25600"/>
  </r>
  <r>
    <s v="ORD-0591"/>
    <x v="114"/>
    <s v="Ayesha Noor"/>
    <x v="2"/>
    <x v="5"/>
    <x v="1"/>
    <n v="8"/>
    <n v="47200"/>
    <n v="377600"/>
  </r>
  <r>
    <s v="ORD-0715"/>
    <x v="27"/>
    <s v="Ahmed Ali"/>
    <x v="0"/>
    <x v="3"/>
    <x v="1"/>
    <n v="2"/>
    <n v="78900"/>
    <n v="157800"/>
  </r>
  <r>
    <s v="ORD-0938"/>
    <x v="108"/>
    <s v="Ahmed Ali"/>
    <x v="5"/>
    <x v="7"/>
    <x v="3"/>
    <n v="7"/>
    <n v="24100"/>
    <n v="168700"/>
  </r>
  <r>
    <s v="ORD-0569"/>
    <x v="8"/>
    <s v="Ahmed Ali"/>
    <x v="2"/>
    <x v="7"/>
    <x v="3"/>
    <n v="4"/>
    <n v="19700"/>
    <n v="78800"/>
  </r>
  <r>
    <s v="ORD-0866"/>
    <x v="153"/>
    <s v="Ahmed Ali"/>
    <x v="0"/>
    <x v="7"/>
    <x v="3"/>
    <n v="8"/>
    <n v="20800"/>
    <n v="166400"/>
  </r>
  <r>
    <s v="ORD-0532"/>
    <x v="103"/>
    <s v="Ahmed Ali"/>
    <x v="3"/>
    <x v="9"/>
    <x v="3"/>
    <n v="4"/>
    <n v="30200"/>
    <n v="120800"/>
  </r>
  <r>
    <s v="ORD-0585"/>
    <x v="145"/>
    <s v="Hamza Raza"/>
    <x v="3"/>
    <x v="7"/>
    <x v="3"/>
    <n v="4"/>
    <n v="19300"/>
    <n v="77200"/>
  </r>
  <r>
    <s v="ORD-0711"/>
    <x v="98"/>
    <s v="Ali Khan"/>
    <x v="2"/>
    <x v="8"/>
    <x v="0"/>
    <n v="7"/>
    <n v="8400"/>
    <n v="58800"/>
  </r>
  <r>
    <s v="ORD-0451"/>
    <x v="97"/>
    <s v="Saad Khan"/>
    <x v="0"/>
    <x v="2"/>
    <x v="2"/>
    <n v="7"/>
    <n v="30100"/>
    <n v="210700"/>
  </r>
  <r>
    <s v="ORD-0779"/>
    <x v="134"/>
    <s v="Fatima Ali"/>
    <x v="4"/>
    <x v="4"/>
    <x v="0"/>
    <n v="4"/>
    <n v="4000"/>
    <n v="16000"/>
  </r>
  <r>
    <s v="ORD-0229"/>
    <x v="9"/>
    <s v="Zain Ahmed"/>
    <x v="2"/>
    <x v="2"/>
    <x v="2"/>
    <n v="6"/>
    <n v="24800"/>
    <n v="148800"/>
  </r>
  <r>
    <s v="ORD-0537"/>
    <x v="40"/>
    <s v="Danish Raza"/>
    <x v="0"/>
    <x v="4"/>
    <x v="0"/>
    <n v="8"/>
    <n v="4300"/>
    <n v="34400"/>
  </r>
  <r>
    <s v="ORD-0732"/>
    <x v="134"/>
    <s v="Usman Malik"/>
    <x v="1"/>
    <x v="9"/>
    <x v="3"/>
    <n v="4"/>
    <n v="27200"/>
    <n v="108800"/>
  </r>
  <r>
    <s v="ORD-0213"/>
    <x v="11"/>
    <s v="Hamza Raza"/>
    <x v="0"/>
    <x v="2"/>
    <x v="2"/>
    <n v="1"/>
    <n v="25300"/>
    <n v="25300"/>
  </r>
  <r>
    <s v="ORD-0080"/>
    <x v="113"/>
    <s v="Danish Raza"/>
    <x v="0"/>
    <x v="0"/>
    <x v="0"/>
    <n v="7"/>
    <n v="2600"/>
    <n v="18200"/>
  </r>
  <r>
    <s v="ORD-0149"/>
    <x v="154"/>
    <s v="Zain Ahmed"/>
    <x v="4"/>
    <x v="9"/>
    <x v="3"/>
    <n v="1"/>
    <n v="33500"/>
    <n v="33500"/>
  </r>
  <r>
    <s v="ORD-0303"/>
    <x v="56"/>
    <s v="Bilal Ahmed"/>
    <x v="3"/>
    <x v="8"/>
    <x v="0"/>
    <n v="6"/>
    <n v="9000"/>
    <n v="54000"/>
  </r>
  <r>
    <s v="ORD-0663"/>
    <x v="21"/>
    <s v="Ahmed Ali"/>
    <x v="0"/>
    <x v="0"/>
    <x v="0"/>
    <n v="5"/>
    <n v="2600"/>
    <n v="13000"/>
  </r>
  <r>
    <s v="ORD-0329"/>
    <x v="155"/>
    <s v="Hamza Raza"/>
    <x v="2"/>
    <x v="1"/>
    <x v="1"/>
    <n v="3"/>
    <n v="36000"/>
    <n v="108000"/>
  </r>
  <r>
    <s v="ORD-0927"/>
    <x v="156"/>
    <s v="Sara Khan"/>
    <x v="4"/>
    <x v="7"/>
    <x v="3"/>
    <n v="3"/>
    <n v="19200"/>
    <n v="57600"/>
  </r>
  <r>
    <s v="ORD-0345"/>
    <x v="127"/>
    <s v="Hassan Shah"/>
    <x v="3"/>
    <x v="4"/>
    <x v="0"/>
    <n v="5"/>
    <n v="4800"/>
    <n v="24000"/>
  </r>
  <r>
    <s v="ORD-0545"/>
    <x v="157"/>
    <s v="Hassan Shah"/>
    <x v="4"/>
    <x v="9"/>
    <x v="3"/>
    <n v="2"/>
    <n v="30300"/>
    <n v="60600"/>
  </r>
  <r>
    <s v="ORD-0507"/>
    <x v="48"/>
    <s v="Bilal Ahmed"/>
    <x v="3"/>
    <x v="1"/>
    <x v="1"/>
    <n v="1"/>
    <n v="38100"/>
    <n v="38100"/>
  </r>
  <r>
    <s v="ORD-0134"/>
    <x v="142"/>
    <s v="Ahmed Ali"/>
    <x v="4"/>
    <x v="8"/>
    <x v="0"/>
    <n v="8"/>
    <n v="7900"/>
    <n v="63200"/>
  </r>
  <r>
    <s v="ORD-0552"/>
    <x v="13"/>
    <s v="Danish Raza"/>
    <x v="0"/>
    <x v="7"/>
    <x v="3"/>
    <n v="6"/>
    <n v="21300"/>
    <n v="127800"/>
  </r>
  <r>
    <s v="ORD-0312"/>
    <x v="132"/>
    <s v="Hamza Raza"/>
    <x v="5"/>
    <x v="2"/>
    <x v="2"/>
    <n v="8"/>
    <n v="30200"/>
    <n v="241600"/>
  </r>
  <r>
    <s v="ORD-0845"/>
    <x v="93"/>
    <s v="Ayesha Noor"/>
    <x v="4"/>
    <x v="3"/>
    <x v="1"/>
    <n v="3"/>
    <n v="74500"/>
    <n v="223500"/>
  </r>
  <r>
    <s v="ORD-0953"/>
    <x v="14"/>
    <s v="Zain Ahmed"/>
    <x v="2"/>
    <x v="6"/>
    <x v="0"/>
    <n v="5"/>
    <n v="5700"/>
    <n v="28500"/>
  </r>
  <r>
    <s v="ORD-0001"/>
    <x v="158"/>
    <s v="Usman Malik"/>
    <x v="2"/>
    <x v="1"/>
    <x v="1"/>
    <n v="1"/>
    <n v="37500"/>
    <n v="37500"/>
  </r>
  <r>
    <s v="ORD-0317"/>
    <x v="159"/>
    <s v="Danish Raza"/>
    <x v="4"/>
    <x v="8"/>
    <x v="0"/>
    <n v="2"/>
    <n v="8700"/>
    <n v="17400"/>
  </r>
  <r>
    <s v="ORD-0746"/>
    <x v="11"/>
    <s v="Danish Raza"/>
    <x v="3"/>
    <x v="1"/>
    <x v="1"/>
    <n v="1"/>
    <n v="33700"/>
    <n v="33700"/>
  </r>
  <r>
    <s v="ORD-0549"/>
    <x v="71"/>
    <s v="Ayesha Noor"/>
    <x v="1"/>
    <x v="7"/>
    <x v="3"/>
    <n v="5"/>
    <n v="22800"/>
    <n v="114000"/>
  </r>
  <r>
    <s v="ORD-0617"/>
    <x v="159"/>
    <s v="Hamza Raza"/>
    <x v="0"/>
    <x v="1"/>
    <x v="1"/>
    <n v="4"/>
    <n v="33400"/>
    <n v="133600"/>
  </r>
  <r>
    <s v="ORD-0534"/>
    <x v="160"/>
    <s v="Saad Khan"/>
    <x v="3"/>
    <x v="8"/>
    <x v="0"/>
    <n v="2"/>
    <n v="7300"/>
    <n v="14600"/>
  </r>
  <r>
    <s v="ORD-0480"/>
    <x v="17"/>
    <s v="Danish Raza"/>
    <x v="4"/>
    <x v="1"/>
    <x v="1"/>
    <n v="2"/>
    <n v="37800"/>
    <n v="75600"/>
  </r>
  <r>
    <s v="ORD-0874"/>
    <x v="51"/>
    <s v="Bilal Ahmed"/>
    <x v="5"/>
    <x v="4"/>
    <x v="0"/>
    <n v="6"/>
    <n v="4900"/>
    <n v="29400"/>
  </r>
  <r>
    <s v="ORD-0173"/>
    <x v="156"/>
    <s v="Ali Khan"/>
    <x v="1"/>
    <x v="4"/>
    <x v="0"/>
    <n v="7"/>
    <n v="5000"/>
    <n v="35000"/>
  </r>
  <r>
    <s v="ORD-0126"/>
    <x v="115"/>
    <s v="Hassan Shah"/>
    <x v="4"/>
    <x v="7"/>
    <x v="3"/>
    <n v="6"/>
    <n v="21500"/>
    <n v="129000"/>
  </r>
  <r>
    <s v="ORD-0425"/>
    <x v="82"/>
    <s v="Hassan Shah"/>
    <x v="4"/>
    <x v="6"/>
    <x v="0"/>
    <n v="7"/>
    <n v="6400"/>
    <n v="44800"/>
  </r>
  <r>
    <s v="ORD-0423"/>
    <x v="146"/>
    <s v="Saad Khan"/>
    <x v="1"/>
    <x v="0"/>
    <x v="0"/>
    <n v="4"/>
    <n v="2800"/>
    <n v="11200"/>
  </r>
  <r>
    <s v="ORD-0829"/>
    <x v="95"/>
    <s v="Saad Khan"/>
    <x v="4"/>
    <x v="1"/>
    <x v="1"/>
    <n v="1"/>
    <n v="33700"/>
    <n v="33700"/>
  </r>
  <r>
    <s v="ORD-0907"/>
    <x v="161"/>
    <s v="Saad Khan"/>
    <x v="3"/>
    <x v="1"/>
    <x v="1"/>
    <n v="5"/>
    <n v="32600"/>
    <n v="163000"/>
  </r>
  <r>
    <s v="ORD-0091"/>
    <x v="120"/>
    <s v="Zain Ahmed"/>
    <x v="4"/>
    <x v="4"/>
    <x v="0"/>
    <n v="8"/>
    <n v="4700"/>
    <n v="37600"/>
  </r>
  <r>
    <s v="ORD-0943"/>
    <x v="98"/>
    <s v="Hamza Raza"/>
    <x v="5"/>
    <x v="8"/>
    <x v="0"/>
    <n v="7"/>
    <n v="8900"/>
    <n v="62300"/>
  </r>
  <r>
    <s v="ORD-0182"/>
    <x v="73"/>
    <s v="Sara Khan"/>
    <x v="4"/>
    <x v="4"/>
    <x v="0"/>
    <n v="4"/>
    <n v="4400"/>
    <n v="17600"/>
  </r>
  <r>
    <s v="ORD-0275"/>
    <x v="122"/>
    <s v="Usman Malik"/>
    <x v="4"/>
    <x v="0"/>
    <x v="0"/>
    <n v="5"/>
    <n v="2800"/>
    <n v="14000"/>
  </r>
  <r>
    <s v="ORD-0899"/>
    <x v="3"/>
    <s v="Usman Malik"/>
    <x v="3"/>
    <x v="3"/>
    <x v="1"/>
    <n v="7"/>
    <n v="92600"/>
    <n v="648200"/>
  </r>
  <r>
    <s v="ORD-0070"/>
    <x v="2"/>
    <s v="Ayesha Noor"/>
    <x v="4"/>
    <x v="0"/>
    <x v="0"/>
    <n v="4"/>
    <n v="2100"/>
    <n v="8400"/>
  </r>
  <r>
    <s v="ORD-0292"/>
    <x v="122"/>
    <s v="Ahmed Ali"/>
    <x v="0"/>
    <x v="7"/>
    <x v="3"/>
    <n v="1"/>
    <n v="21300"/>
    <n v="21300"/>
  </r>
  <r>
    <s v="ORD-0132"/>
    <x v="80"/>
    <s v="Bilal Ahmed"/>
    <x v="0"/>
    <x v="6"/>
    <x v="0"/>
    <n v="1"/>
    <n v="7400"/>
    <n v="7400"/>
  </r>
  <r>
    <s v="ORD-0301"/>
    <x v="126"/>
    <s v="Ayesha Noor"/>
    <x v="0"/>
    <x v="6"/>
    <x v="0"/>
    <n v="2"/>
    <n v="7100"/>
    <n v="14200"/>
  </r>
  <r>
    <s v="ORD-0583"/>
    <x v="101"/>
    <s v="Danish Raza"/>
    <x v="4"/>
    <x v="0"/>
    <x v="0"/>
    <n v="6"/>
    <n v="2400"/>
    <n v="14400"/>
  </r>
  <r>
    <s v="ORD-0327"/>
    <x v="162"/>
    <s v="Usman Malik"/>
    <x v="0"/>
    <x v="2"/>
    <x v="2"/>
    <n v="5"/>
    <n v="30900"/>
    <n v="154500"/>
  </r>
  <r>
    <s v="ORD-0145"/>
    <x v="163"/>
    <s v="Danish Raza"/>
    <x v="2"/>
    <x v="0"/>
    <x v="0"/>
    <n v="7"/>
    <n v="2200"/>
    <n v="15400"/>
  </r>
  <r>
    <s v="ORD-0426"/>
    <x v="22"/>
    <s v="Sara Khan"/>
    <x v="3"/>
    <x v="6"/>
    <x v="0"/>
    <n v="6"/>
    <n v="6500"/>
    <n v="39000"/>
  </r>
  <r>
    <s v="ORD-0584"/>
    <x v="127"/>
    <s v="Sara Khan"/>
    <x v="5"/>
    <x v="6"/>
    <x v="0"/>
    <n v="3"/>
    <n v="5600"/>
    <n v="16800"/>
  </r>
  <r>
    <s v="ORD-0136"/>
    <x v="15"/>
    <s v="Bilal Ahmed"/>
    <x v="3"/>
    <x v="9"/>
    <x v="3"/>
    <n v="1"/>
    <n v="26900"/>
    <n v="26900"/>
  </r>
  <r>
    <s v="ORD-0666"/>
    <x v="4"/>
    <s v="Sara Khan"/>
    <x v="4"/>
    <x v="6"/>
    <x v="0"/>
    <n v="7"/>
    <n v="7300"/>
    <n v="51100"/>
  </r>
  <r>
    <s v="ORD-0165"/>
    <x v="69"/>
    <s v="Hassan Shah"/>
    <x v="5"/>
    <x v="4"/>
    <x v="0"/>
    <n v="2"/>
    <n v="4200"/>
    <n v="8400"/>
  </r>
  <r>
    <s v="ORD-0029"/>
    <x v="29"/>
    <s v="Ayesha Noor"/>
    <x v="2"/>
    <x v="8"/>
    <x v="0"/>
    <n v="3"/>
    <n v="7400"/>
    <n v="22200"/>
  </r>
  <r>
    <s v="ORD-0761"/>
    <x v="144"/>
    <s v="Ayesha Noor"/>
    <x v="3"/>
    <x v="7"/>
    <x v="3"/>
    <n v="3"/>
    <n v="21400"/>
    <n v="64200"/>
  </r>
  <r>
    <s v="ORD-0194"/>
    <x v="87"/>
    <s v="Hamza Raza"/>
    <x v="2"/>
    <x v="2"/>
    <x v="2"/>
    <n v="2"/>
    <n v="27700"/>
    <n v="55400"/>
  </r>
  <r>
    <s v="ORD-0993"/>
    <x v="33"/>
    <s v="Saad Khan"/>
    <x v="3"/>
    <x v="4"/>
    <x v="0"/>
    <n v="6"/>
    <n v="5000"/>
    <n v="30000"/>
  </r>
  <r>
    <s v="ORD-0705"/>
    <x v="76"/>
    <s v="Bilal Ahmed"/>
    <x v="4"/>
    <x v="1"/>
    <x v="1"/>
    <n v="5"/>
    <n v="36500"/>
    <n v="182500"/>
  </r>
  <r>
    <s v="ORD-0170"/>
    <x v="70"/>
    <s v="Danish Raza"/>
    <x v="2"/>
    <x v="8"/>
    <x v="0"/>
    <n v="7"/>
    <n v="7700"/>
    <n v="53900"/>
  </r>
  <r>
    <s v="ORD-0491"/>
    <x v="30"/>
    <s v="Fatima Ali"/>
    <x v="1"/>
    <x v="0"/>
    <x v="0"/>
    <n v="3"/>
    <n v="2500"/>
    <n v="7500"/>
  </r>
  <r>
    <s v="ORD-0141"/>
    <x v="87"/>
    <s v="Hamza Raza"/>
    <x v="3"/>
    <x v="4"/>
    <x v="0"/>
    <n v="4"/>
    <n v="4100"/>
    <n v="16400"/>
  </r>
  <r>
    <s v="ORD-0174"/>
    <x v="117"/>
    <s v="Danish Raza"/>
    <x v="3"/>
    <x v="6"/>
    <x v="0"/>
    <n v="6"/>
    <n v="6700"/>
    <n v="40200"/>
  </r>
  <r>
    <s v="ORD-0007"/>
    <x v="144"/>
    <s v="Ali Khan"/>
    <x v="1"/>
    <x v="6"/>
    <x v="0"/>
    <n v="1"/>
    <n v="6900"/>
    <n v="6900"/>
  </r>
  <r>
    <s v="ORD-0645"/>
    <x v="81"/>
    <s v="Hamza Raza"/>
    <x v="5"/>
    <x v="3"/>
    <x v="1"/>
    <n v="7"/>
    <n v="75100"/>
    <n v="525700"/>
  </r>
  <r>
    <s v="ORD-0635"/>
    <x v="90"/>
    <s v="Zain Ahmed"/>
    <x v="3"/>
    <x v="8"/>
    <x v="0"/>
    <n v="8"/>
    <n v="7400"/>
    <n v="59200"/>
  </r>
  <r>
    <s v="ORD-0074"/>
    <x v="27"/>
    <s v="Ayesha Noor"/>
    <x v="5"/>
    <x v="9"/>
    <x v="3"/>
    <n v="7"/>
    <n v="28600"/>
    <n v="200200"/>
  </r>
  <r>
    <s v="ORD-0974"/>
    <x v="116"/>
    <s v="Bilal Ahmed"/>
    <x v="5"/>
    <x v="0"/>
    <x v="0"/>
    <n v="4"/>
    <n v="2300"/>
    <n v="9200"/>
  </r>
  <r>
    <s v="ORD-0979"/>
    <x v="82"/>
    <s v="Ayesha Noor"/>
    <x v="2"/>
    <x v="3"/>
    <x v="1"/>
    <n v="5"/>
    <n v="94400"/>
    <n v="472000"/>
  </r>
  <r>
    <s v="ORD-0239"/>
    <x v="85"/>
    <s v="Zain Ahmed"/>
    <x v="1"/>
    <x v="5"/>
    <x v="1"/>
    <n v="2"/>
    <n v="51400"/>
    <n v="102800"/>
  </r>
  <r>
    <s v="ORD-0146"/>
    <x v="98"/>
    <s v="Bilal Ahmed"/>
    <x v="5"/>
    <x v="6"/>
    <x v="0"/>
    <n v="3"/>
    <n v="5700"/>
    <n v="17100"/>
  </r>
  <r>
    <s v="ORD-0801"/>
    <x v="57"/>
    <s v="Usman Malik"/>
    <x v="1"/>
    <x v="4"/>
    <x v="0"/>
    <n v="8"/>
    <n v="5100"/>
    <n v="40800"/>
  </r>
  <r>
    <s v="ORD-0235"/>
    <x v="24"/>
    <s v="Zain Ahmed"/>
    <x v="3"/>
    <x v="2"/>
    <x v="2"/>
    <n v="5"/>
    <n v="29900"/>
    <n v="149500"/>
  </r>
  <r>
    <s v="ORD-0221"/>
    <x v="109"/>
    <s v="Ayesha Noor"/>
    <x v="4"/>
    <x v="7"/>
    <x v="3"/>
    <n v="4"/>
    <n v="21500"/>
    <n v="86000"/>
  </r>
  <r>
    <s v="ORD-0478"/>
    <x v="112"/>
    <s v="Ayesha Noor"/>
    <x v="5"/>
    <x v="8"/>
    <x v="0"/>
    <n v="7"/>
    <n v="8100"/>
    <n v="56700"/>
  </r>
  <r>
    <s v="ORD-0836"/>
    <x v="42"/>
    <s v="Fatima Ali"/>
    <x v="5"/>
    <x v="1"/>
    <x v="1"/>
    <n v="4"/>
    <n v="35100"/>
    <n v="140400"/>
  </r>
  <r>
    <s v="ORD-0133"/>
    <x v="157"/>
    <s v="Zain Ahmed"/>
    <x v="4"/>
    <x v="4"/>
    <x v="0"/>
    <n v="8"/>
    <n v="4000"/>
    <n v="32000"/>
  </r>
  <r>
    <s v="ORD-0994"/>
    <x v="74"/>
    <s v="Sara Khan"/>
    <x v="0"/>
    <x v="2"/>
    <x v="2"/>
    <n v="7"/>
    <n v="31900"/>
    <n v="223300"/>
  </r>
  <r>
    <s v="ORD-0944"/>
    <x v="68"/>
    <s v="Zain Ahmed"/>
    <x v="1"/>
    <x v="5"/>
    <x v="1"/>
    <n v="6"/>
    <n v="57600"/>
    <n v="345600"/>
  </r>
  <r>
    <s v="ORD-0186"/>
    <x v="132"/>
    <s v="Hassan Shah"/>
    <x v="5"/>
    <x v="8"/>
    <x v="0"/>
    <n v="2"/>
    <n v="7400"/>
    <n v="14800"/>
  </r>
  <r>
    <s v="ORD-0042"/>
    <x v="135"/>
    <s v="Hamza Raza"/>
    <x v="1"/>
    <x v="7"/>
    <x v="3"/>
    <n v="1"/>
    <n v="25100"/>
    <n v="25100"/>
  </r>
  <r>
    <s v="ORD-0614"/>
    <x v="149"/>
    <s v="Saad Khan"/>
    <x v="5"/>
    <x v="6"/>
    <x v="0"/>
    <n v="3"/>
    <n v="5900"/>
    <n v="17700"/>
  </r>
  <r>
    <s v="ORD-0109"/>
    <x v="15"/>
    <s v="Usman Malik"/>
    <x v="1"/>
    <x v="4"/>
    <x v="0"/>
    <n v="8"/>
    <n v="4700"/>
    <n v="37600"/>
  </r>
  <r>
    <s v="ORD-0592"/>
    <x v="93"/>
    <s v="Bilal Ahmed"/>
    <x v="1"/>
    <x v="2"/>
    <x v="2"/>
    <n v="4"/>
    <n v="31400"/>
    <n v="125600"/>
  </r>
  <r>
    <s v="ORD-0057"/>
    <x v="105"/>
    <s v="Saad Khan"/>
    <x v="5"/>
    <x v="1"/>
    <x v="1"/>
    <n v="3"/>
    <n v="32500"/>
    <n v="97500"/>
  </r>
  <r>
    <s v="ORD-0530"/>
    <x v="67"/>
    <s v="Usman Malik"/>
    <x v="1"/>
    <x v="3"/>
    <x v="1"/>
    <n v="7"/>
    <n v="88200"/>
    <n v="617400"/>
  </r>
  <r>
    <s v="ORD-0870"/>
    <x v="14"/>
    <s v="Bilal Ahmed"/>
    <x v="1"/>
    <x v="5"/>
    <x v="1"/>
    <n v="6"/>
    <n v="52800"/>
    <n v="316800"/>
  </r>
  <r>
    <s v="ORD-0934"/>
    <x v="164"/>
    <s v="Ahmed Ali"/>
    <x v="5"/>
    <x v="0"/>
    <x v="0"/>
    <n v="2"/>
    <n v="2500"/>
    <n v="5000"/>
  </r>
  <r>
    <s v="ORD-0864"/>
    <x v="0"/>
    <s v="Ahmed Ali"/>
    <x v="5"/>
    <x v="7"/>
    <x v="3"/>
    <n v="7"/>
    <n v="21900"/>
    <n v="153300"/>
  </r>
  <r>
    <s v="ORD-0025"/>
    <x v="165"/>
    <s v="Fatima Ali"/>
    <x v="5"/>
    <x v="9"/>
    <x v="3"/>
    <n v="4"/>
    <n v="26900"/>
    <n v="107600"/>
  </r>
  <r>
    <s v="ORD-0650"/>
    <x v="23"/>
    <s v="Ahmed Ali"/>
    <x v="4"/>
    <x v="3"/>
    <x v="1"/>
    <n v="8"/>
    <n v="95700"/>
    <n v="765600"/>
  </r>
  <r>
    <s v="ORD-0449"/>
    <x v="117"/>
    <s v="Ali Khan"/>
    <x v="4"/>
    <x v="9"/>
    <x v="3"/>
    <n v="3"/>
    <n v="32300"/>
    <n v="96900"/>
  </r>
  <r>
    <s v="ORD-0533"/>
    <x v="123"/>
    <s v="Saad Khan"/>
    <x v="2"/>
    <x v="2"/>
    <x v="2"/>
    <n v="2"/>
    <n v="32100"/>
    <n v="64200"/>
  </r>
  <r>
    <s v="ORD-0622"/>
    <x v="102"/>
    <s v="Ahmed Ali"/>
    <x v="4"/>
    <x v="9"/>
    <x v="3"/>
    <n v="4"/>
    <n v="27000"/>
    <n v="108000"/>
  </r>
  <r>
    <s v="ORD-0698"/>
    <x v="164"/>
    <s v="Danish Raza"/>
    <x v="5"/>
    <x v="3"/>
    <x v="1"/>
    <n v="5"/>
    <n v="83000"/>
    <n v="415000"/>
  </r>
  <r>
    <s v="ORD-0930"/>
    <x v="144"/>
    <s v="Ayesha Noor"/>
    <x v="2"/>
    <x v="2"/>
    <x v="2"/>
    <n v="2"/>
    <n v="29300"/>
    <n v="58600"/>
  </r>
  <r>
    <s v="ORD-0339"/>
    <x v="129"/>
    <s v="Zain Ahmed"/>
    <x v="1"/>
    <x v="4"/>
    <x v="0"/>
    <n v="2"/>
    <n v="3900"/>
    <n v="7800"/>
  </r>
  <r>
    <s v="ORD-0052"/>
    <x v="102"/>
    <s v="Ahmed Ali"/>
    <x v="1"/>
    <x v="6"/>
    <x v="0"/>
    <n v="8"/>
    <n v="6100"/>
    <n v="48800"/>
  </r>
  <r>
    <s v="ORD-0667"/>
    <x v="116"/>
    <s v="Zain Ahmed"/>
    <x v="1"/>
    <x v="0"/>
    <x v="0"/>
    <n v="8"/>
    <n v="2400"/>
    <n v="19200"/>
  </r>
  <r>
    <s v="ORD-0621"/>
    <x v="140"/>
    <s v="Ali Khan"/>
    <x v="1"/>
    <x v="8"/>
    <x v="0"/>
    <n v="7"/>
    <n v="7600"/>
    <n v="53200"/>
  </r>
  <r>
    <s v="ORD-0924"/>
    <x v="166"/>
    <s v="Saad Khan"/>
    <x v="1"/>
    <x v="4"/>
    <x v="0"/>
    <n v="5"/>
    <n v="5000"/>
    <n v="25000"/>
  </r>
  <r>
    <s v="ORD-0636"/>
    <x v="151"/>
    <s v="Fatima Ali"/>
    <x v="1"/>
    <x v="4"/>
    <x v="0"/>
    <n v="2"/>
    <n v="3900"/>
    <n v="7800"/>
  </r>
  <r>
    <s v="ORD-0265"/>
    <x v="39"/>
    <s v="Danish Raza"/>
    <x v="2"/>
    <x v="9"/>
    <x v="3"/>
    <n v="3"/>
    <n v="28500"/>
    <n v="85500"/>
  </r>
  <r>
    <s v="ORD-0539"/>
    <x v="59"/>
    <s v="Saad Khan"/>
    <x v="1"/>
    <x v="1"/>
    <x v="1"/>
    <n v="3"/>
    <n v="37700"/>
    <n v="113100"/>
  </r>
  <r>
    <s v="ORD-0714"/>
    <x v="94"/>
    <s v="Ayesha Noor"/>
    <x v="1"/>
    <x v="4"/>
    <x v="0"/>
    <n v="8"/>
    <n v="5100"/>
    <n v="40800"/>
  </r>
  <r>
    <s v="ORD-0686"/>
    <x v="92"/>
    <s v="Ayesha Noor"/>
    <x v="3"/>
    <x v="5"/>
    <x v="1"/>
    <n v="7"/>
    <n v="53400"/>
    <n v="373800"/>
  </r>
  <r>
    <s v="ORD-0950"/>
    <x v="125"/>
    <s v="Fatima Ali"/>
    <x v="5"/>
    <x v="3"/>
    <x v="1"/>
    <n v="5"/>
    <n v="95700"/>
    <n v="478500"/>
  </r>
  <r>
    <s v="ORD-0520"/>
    <x v="13"/>
    <s v="Ali Khan"/>
    <x v="1"/>
    <x v="5"/>
    <x v="1"/>
    <n v="7"/>
    <n v="54200"/>
    <n v="379400"/>
  </r>
  <r>
    <s v="ORD-0450"/>
    <x v="167"/>
    <s v="Danish Raza"/>
    <x v="5"/>
    <x v="4"/>
    <x v="0"/>
    <n v="4"/>
    <n v="4600"/>
    <n v="18400"/>
  </r>
  <r>
    <s v="ORD-0019"/>
    <x v="101"/>
    <s v="Ali Khan"/>
    <x v="2"/>
    <x v="4"/>
    <x v="0"/>
    <n v="8"/>
    <n v="3900"/>
    <n v="31200"/>
  </r>
  <r>
    <s v="ORD-0719"/>
    <x v="122"/>
    <s v="Sara Khan"/>
    <x v="2"/>
    <x v="3"/>
    <x v="1"/>
    <n v="3"/>
    <n v="85100"/>
    <n v="255300"/>
  </r>
  <r>
    <s v="ORD-0486"/>
    <x v="168"/>
    <s v="Ali Khan"/>
    <x v="0"/>
    <x v="6"/>
    <x v="0"/>
    <n v="7"/>
    <n v="7300"/>
    <n v="51100"/>
  </r>
  <r>
    <s v="ORD-0571"/>
    <x v="169"/>
    <s v="Ali Khan"/>
    <x v="2"/>
    <x v="3"/>
    <x v="1"/>
    <n v="7"/>
    <n v="93900"/>
    <n v="657300"/>
  </r>
  <r>
    <s v="ORD-0368"/>
    <x v="33"/>
    <s v="Bilal Ahmed"/>
    <x v="3"/>
    <x v="5"/>
    <x v="1"/>
    <n v="6"/>
    <n v="62500"/>
    <n v="375000"/>
  </r>
  <r>
    <s v="ORD-0084"/>
    <x v="70"/>
    <s v="Danish Raza"/>
    <x v="3"/>
    <x v="4"/>
    <x v="0"/>
    <n v="2"/>
    <n v="4200"/>
    <n v="8400"/>
  </r>
  <r>
    <s v="ORD-0062"/>
    <x v="44"/>
    <s v="Hamza Raza"/>
    <x v="5"/>
    <x v="7"/>
    <x v="3"/>
    <n v="1"/>
    <n v="19400"/>
    <n v="19400"/>
  </r>
  <r>
    <s v="ORD-0440"/>
    <x v="77"/>
    <s v="Hamza Raza"/>
    <x v="2"/>
    <x v="4"/>
    <x v="0"/>
    <n v="2"/>
    <n v="5100"/>
    <n v="10200"/>
  </r>
  <r>
    <s v="ORD-0273"/>
    <x v="85"/>
    <s v="Saad Khan"/>
    <x v="2"/>
    <x v="8"/>
    <x v="0"/>
    <n v="1"/>
    <n v="7800"/>
    <n v="7800"/>
  </r>
  <r>
    <s v="ORD-0286"/>
    <x v="29"/>
    <s v="Fatima Ali"/>
    <x v="1"/>
    <x v="0"/>
    <x v="0"/>
    <n v="3"/>
    <n v="2500"/>
    <n v="7500"/>
  </r>
  <r>
    <s v="ORD-0361"/>
    <x v="56"/>
    <s v="Usman Malik"/>
    <x v="5"/>
    <x v="8"/>
    <x v="0"/>
    <n v="1"/>
    <n v="8500"/>
    <n v="8500"/>
  </r>
  <r>
    <s v="ORD-0355"/>
    <x v="44"/>
    <s v="Danish Raza"/>
    <x v="3"/>
    <x v="1"/>
    <x v="1"/>
    <n v="7"/>
    <n v="35900"/>
    <n v="251300"/>
  </r>
  <r>
    <s v="ORD-0990"/>
    <x v="170"/>
    <s v="Saad Khan"/>
    <x v="0"/>
    <x v="4"/>
    <x v="0"/>
    <n v="4"/>
    <n v="5000"/>
    <n v="20000"/>
  </r>
  <r>
    <s v="ORD-0279"/>
    <x v="165"/>
    <s v="Bilal Ahmed"/>
    <x v="1"/>
    <x v="7"/>
    <x v="3"/>
    <n v="2"/>
    <n v="20600"/>
    <n v="41200"/>
  </r>
  <r>
    <s v="ORD-0013"/>
    <x v="26"/>
    <s v="Saad Khan"/>
    <x v="5"/>
    <x v="5"/>
    <x v="1"/>
    <n v="5"/>
    <n v="63100"/>
    <n v="315500"/>
  </r>
  <r>
    <s v="ORD-0183"/>
    <x v="85"/>
    <s v="Fatima Ali"/>
    <x v="2"/>
    <x v="3"/>
    <x v="1"/>
    <n v="8"/>
    <n v="95200"/>
    <n v="761600"/>
  </r>
  <r>
    <s v="ORD-0369"/>
    <x v="103"/>
    <s v="Danish Raza"/>
    <x v="4"/>
    <x v="6"/>
    <x v="0"/>
    <n v="2"/>
    <n v="6200"/>
    <n v="12400"/>
  </r>
  <r>
    <s v="ORD-0495"/>
    <x v="144"/>
    <s v="Hamza Raza"/>
    <x v="4"/>
    <x v="6"/>
    <x v="0"/>
    <n v="2"/>
    <n v="6700"/>
    <n v="13400"/>
  </r>
  <r>
    <s v="ORD-0619"/>
    <x v="105"/>
    <s v="Saad Khan"/>
    <x v="3"/>
    <x v="1"/>
    <x v="1"/>
    <n v="6"/>
    <n v="32400"/>
    <n v="194400"/>
  </r>
  <r>
    <s v="ORD-0224"/>
    <x v="106"/>
    <s v="Ayesha Noor"/>
    <x v="3"/>
    <x v="1"/>
    <x v="1"/>
    <n v="2"/>
    <n v="38500"/>
    <n v="77000"/>
  </r>
  <r>
    <s v="ORD-0576"/>
    <x v="83"/>
    <s v="Usman Malik"/>
    <x v="4"/>
    <x v="9"/>
    <x v="3"/>
    <n v="1"/>
    <n v="29400"/>
    <n v="29400"/>
  </r>
  <r>
    <s v="ORD-0912"/>
    <x v="28"/>
    <s v="Ayesha Noor"/>
    <x v="1"/>
    <x v="5"/>
    <x v="1"/>
    <n v="1"/>
    <n v="48800"/>
    <n v="48800"/>
  </r>
  <r>
    <s v="ORD-0867"/>
    <x v="100"/>
    <s v="Hassan Shah"/>
    <x v="5"/>
    <x v="0"/>
    <x v="0"/>
    <n v="7"/>
    <n v="2600"/>
    <n v="18200"/>
  </r>
  <r>
    <s v="ORD-0632"/>
    <x v="169"/>
    <s v="Ayesha Noor"/>
    <x v="1"/>
    <x v="1"/>
    <x v="1"/>
    <n v="8"/>
    <n v="38600"/>
    <n v="308800"/>
  </r>
  <r>
    <s v="ORD-0586"/>
    <x v="48"/>
    <s v="Hamza Raza"/>
    <x v="2"/>
    <x v="3"/>
    <x v="1"/>
    <n v="1"/>
    <n v="93400"/>
    <n v="93400"/>
  </r>
  <r>
    <s v="ORD-0612"/>
    <x v="120"/>
    <s v="Saad Khan"/>
    <x v="5"/>
    <x v="2"/>
    <x v="2"/>
    <n v="3"/>
    <n v="29700"/>
    <n v="89100"/>
  </r>
  <r>
    <s v="ORD-0177"/>
    <x v="126"/>
    <s v="Ali Khan"/>
    <x v="0"/>
    <x v="6"/>
    <x v="0"/>
    <n v="4"/>
    <n v="7000"/>
    <n v="28000"/>
  </r>
  <r>
    <s v="ORD-0669"/>
    <x v="105"/>
    <s v="Sara Khan"/>
    <x v="3"/>
    <x v="9"/>
    <x v="3"/>
    <n v="5"/>
    <n v="28200"/>
    <n v="141000"/>
  </r>
  <r>
    <s v="ORD-0631"/>
    <x v="118"/>
    <s v="Danish Raza"/>
    <x v="4"/>
    <x v="0"/>
    <x v="0"/>
    <n v="2"/>
    <n v="2100"/>
    <n v="4200"/>
  </r>
  <r>
    <s v="ORD-0589"/>
    <x v="106"/>
    <s v="Hassan Shah"/>
    <x v="3"/>
    <x v="0"/>
    <x v="0"/>
    <n v="8"/>
    <n v="2700"/>
    <n v="21600"/>
  </r>
  <r>
    <s v="ORD-0522"/>
    <x v="106"/>
    <s v="Saad Khan"/>
    <x v="1"/>
    <x v="2"/>
    <x v="2"/>
    <n v="1"/>
    <n v="31100"/>
    <n v="31100"/>
  </r>
  <r>
    <s v="ORD-0394"/>
    <x v="81"/>
    <s v="Hamza Raza"/>
    <x v="4"/>
    <x v="7"/>
    <x v="3"/>
    <n v="4"/>
    <n v="22500"/>
    <n v="90000"/>
  </r>
  <r>
    <s v="ORD-0164"/>
    <x v="171"/>
    <s v="Fatima Ali"/>
    <x v="0"/>
    <x v="7"/>
    <x v="3"/>
    <n v="3"/>
    <n v="21200"/>
    <n v="63600"/>
  </r>
  <r>
    <s v="ORD-0249"/>
    <x v="48"/>
    <s v="Hassan Shah"/>
    <x v="2"/>
    <x v="5"/>
    <x v="1"/>
    <n v="5"/>
    <n v="59100"/>
    <n v="295500"/>
  </r>
  <r>
    <s v="ORD-0742"/>
    <x v="5"/>
    <s v="Danish Raza"/>
    <x v="4"/>
    <x v="0"/>
    <x v="0"/>
    <n v="4"/>
    <n v="2600"/>
    <n v="10400"/>
  </r>
  <r>
    <s v="ORD-0889"/>
    <x v="168"/>
    <s v="Danish Raza"/>
    <x v="1"/>
    <x v="1"/>
    <x v="1"/>
    <n v="5"/>
    <n v="36200"/>
    <n v="181000"/>
  </r>
  <r>
    <s v="ORD-0775"/>
    <x v="99"/>
    <s v="Ali Khan"/>
    <x v="0"/>
    <x v="7"/>
    <x v="3"/>
    <n v="1"/>
    <n v="22900"/>
    <n v="22900"/>
  </r>
  <r>
    <s v="ORD-0376"/>
    <x v="58"/>
    <s v="Hamza Raza"/>
    <x v="1"/>
    <x v="9"/>
    <x v="3"/>
    <n v="4"/>
    <n v="30300"/>
    <n v="121200"/>
  </r>
  <r>
    <s v="ORD-0413"/>
    <x v="172"/>
    <s v="Fatima Ali"/>
    <x v="5"/>
    <x v="0"/>
    <x v="0"/>
    <n v="7"/>
    <n v="2400"/>
    <n v="16800"/>
  </r>
  <r>
    <s v="ORD-0075"/>
    <x v="31"/>
    <s v="Usman Malik"/>
    <x v="4"/>
    <x v="7"/>
    <x v="3"/>
    <n v="2"/>
    <n v="21200"/>
    <n v="42400"/>
  </r>
  <r>
    <s v="ORD-0114"/>
    <x v="75"/>
    <s v="Danish Raza"/>
    <x v="4"/>
    <x v="1"/>
    <x v="1"/>
    <n v="1"/>
    <n v="33400"/>
    <n v="33400"/>
  </r>
  <r>
    <s v="ORD-0695"/>
    <x v="101"/>
    <s v="Danish Raza"/>
    <x v="3"/>
    <x v="6"/>
    <x v="0"/>
    <n v="1"/>
    <n v="6700"/>
    <n v="6700"/>
  </r>
  <r>
    <s v="ORD-0922"/>
    <x v="46"/>
    <s v="Danish Raza"/>
    <x v="4"/>
    <x v="4"/>
    <x v="0"/>
    <n v="8"/>
    <n v="4100"/>
    <n v="32800"/>
  </r>
  <r>
    <s v="ORD-0391"/>
    <x v="115"/>
    <s v="Sara Khan"/>
    <x v="5"/>
    <x v="8"/>
    <x v="0"/>
    <n v="6"/>
    <n v="7800"/>
    <n v="46800"/>
  </r>
  <r>
    <s v="ORD-0105"/>
    <x v="113"/>
    <s v="Bilal Ahmed"/>
    <x v="1"/>
    <x v="2"/>
    <x v="2"/>
    <n v="6"/>
    <n v="30200"/>
    <n v="181200"/>
  </r>
  <r>
    <s v="ORD-0115"/>
    <x v="139"/>
    <s v="Sara Khan"/>
    <x v="3"/>
    <x v="1"/>
    <x v="1"/>
    <n v="6"/>
    <n v="29900"/>
    <n v="179400"/>
  </r>
  <r>
    <s v="ORD-0418"/>
    <x v="73"/>
    <s v="Usman Malik"/>
    <x v="4"/>
    <x v="5"/>
    <x v="1"/>
    <n v="3"/>
    <n v="53200"/>
    <n v="159600"/>
  </r>
  <r>
    <s v="ORD-0712"/>
    <x v="152"/>
    <s v="Sara Khan"/>
    <x v="5"/>
    <x v="3"/>
    <x v="1"/>
    <n v="3"/>
    <n v="74900"/>
    <n v="224700"/>
  </r>
  <r>
    <s v="ORD-0458"/>
    <x v="106"/>
    <s v="Ahmed Ali"/>
    <x v="4"/>
    <x v="5"/>
    <x v="1"/>
    <n v="6"/>
    <n v="52700"/>
    <n v="316200"/>
  </r>
  <r>
    <s v="ORD-0410"/>
    <x v="0"/>
    <s v="Usman Malik"/>
    <x v="3"/>
    <x v="3"/>
    <x v="1"/>
    <n v="7"/>
    <n v="83400"/>
    <n v="583800"/>
  </r>
  <r>
    <s v="ORD-0093"/>
    <x v="28"/>
    <s v="Danish Raza"/>
    <x v="4"/>
    <x v="8"/>
    <x v="0"/>
    <n v="8"/>
    <n v="7400"/>
    <n v="59200"/>
  </r>
  <r>
    <s v="ORD-0603"/>
    <x v="35"/>
    <s v="Hassan Shah"/>
    <x v="5"/>
    <x v="9"/>
    <x v="3"/>
    <n v="6"/>
    <n v="32800"/>
    <n v="196800"/>
  </r>
  <r>
    <s v="ORD-0090"/>
    <x v="28"/>
    <s v="Ali Khan"/>
    <x v="1"/>
    <x v="7"/>
    <x v="3"/>
    <n v="8"/>
    <n v="19000"/>
    <n v="152000"/>
  </r>
  <r>
    <s v="ORD-0337"/>
    <x v="21"/>
    <s v="Fatima Ali"/>
    <x v="3"/>
    <x v="5"/>
    <x v="1"/>
    <n v="3"/>
    <n v="59300"/>
    <n v="177900"/>
  </r>
  <r>
    <s v="ORD-0992"/>
    <x v="68"/>
    <s v="Saad Khan"/>
    <x v="3"/>
    <x v="4"/>
    <x v="0"/>
    <n v="6"/>
    <n v="3900"/>
    <n v="23400"/>
  </r>
  <r>
    <s v="ORD-0925"/>
    <x v="91"/>
    <s v="Usman Malik"/>
    <x v="5"/>
    <x v="7"/>
    <x v="3"/>
    <n v="5"/>
    <n v="22300"/>
    <n v="111500"/>
  </r>
  <r>
    <s v="ORD-0937"/>
    <x v="26"/>
    <s v="Ahmed Ali"/>
    <x v="4"/>
    <x v="8"/>
    <x v="0"/>
    <n v="2"/>
    <n v="7900"/>
    <n v="15800"/>
  </r>
  <r>
    <s v="ORD-0637"/>
    <x v="167"/>
    <s v="Fatima Ali"/>
    <x v="1"/>
    <x v="9"/>
    <x v="3"/>
    <n v="4"/>
    <n v="30500"/>
    <n v="122000"/>
  </r>
  <r>
    <s v="ORD-0597"/>
    <x v="166"/>
    <s v="Hassan Shah"/>
    <x v="5"/>
    <x v="2"/>
    <x v="2"/>
    <n v="8"/>
    <n v="28400"/>
    <n v="227200"/>
  </r>
  <r>
    <s v="ORD-0995"/>
    <x v="105"/>
    <s v="Hamza Raza"/>
    <x v="2"/>
    <x v="6"/>
    <x v="0"/>
    <n v="3"/>
    <n v="7000"/>
    <n v="21000"/>
  </r>
  <r>
    <s v="ORD-0095"/>
    <x v="159"/>
    <s v="Fatima Ali"/>
    <x v="3"/>
    <x v="6"/>
    <x v="0"/>
    <n v="4"/>
    <n v="6100"/>
    <n v="24400"/>
  </r>
  <r>
    <s v="ORD-0012"/>
    <x v="158"/>
    <s v="Hamza Raza"/>
    <x v="1"/>
    <x v="1"/>
    <x v="1"/>
    <n v="3"/>
    <n v="35400"/>
    <n v="106200"/>
  </r>
  <r>
    <s v="ORD-0397"/>
    <x v="173"/>
    <s v="Fatima Ali"/>
    <x v="1"/>
    <x v="4"/>
    <x v="0"/>
    <n v="7"/>
    <n v="4400"/>
    <n v="30800"/>
  </r>
  <r>
    <s v="ORD-0535"/>
    <x v="51"/>
    <s v="Hamza Raza"/>
    <x v="1"/>
    <x v="1"/>
    <x v="1"/>
    <n v="6"/>
    <n v="33600"/>
    <n v="201600"/>
  </r>
  <r>
    <s v="ORD-0044"/>
    <x v="36"/>
    <s v="Sara Khan"/>
    <x v="4"/>
    <x v="5"/>
    <x v="1"/>
    <n v="1"/>
    <n v="63000"/>
    <n v="63000"/>
  </r>
  <r>
    <s v="ORD-0043"/>
    <x v="14"/>
    <s v="Ahmed Ali"/>
    <x v="2"/>
    <x v="8"/>
    <x v="0"/>
    <n v="8"/>
    <n v="7300"/>
    <n v="58400"/>
  </r>
  <r>
    <s v="ORD-0330"/>
    <x v="15"/>
    <s v="Ahmed Ali"/>
    <x v="3"/>
    <x v="9"/>
    <x v="3"/>
    <n v="6"/>
    <n v="33100"/>
    <n v="198600"/>
  </r>
  <r>
    <s v="ORD-0168"/>
    <x v="154"/>
    <s v="Usman Malik"/>
    <x v="0"/>
    <x v="7"/>
    <x v="3"/>
    <n v="7"/>
    <n v="21700"/>
    <n v="151900"/>
  </r>
  <r>
    <s v="ORD-0500"/>
    <x v="112"/>
    <s v="Hamza Raza"/>
    <x v="5"/>
    <x v="6"/>
    <x v="0"/>
    <n v="2"/>
    <n v="5900"/>
    <n v="11800"/>
  </r>
  <r>
    <s v="ORD-0880"/>
    <x v="12"/>
    <s v="Ali Khan"/>
    <x v="1"/>
    <x v="7"/>
    <x v="3"/>
    <n v="8"/>
    <n v="23800"/>
    <n v="190400"/>
  </r>
  <r>
    <s v="ORD-0940"/>
    <x v="43"/>
    <s v="Fatima Ali"/>
    <x v="1"/>
    <x v="7"/>
    <x v="3"/>
    <n v="2"/>
    <n v="19400"/>
    <n v="38800"/>
  </r>
  <r>
    <s v="ORD-0760"/>
    <x v="142"/>
    <s v="Fatima Ali"/>
    <x v="3"/>
    <x v="1"/>
    <x v="1"/>
    <n v="6"/>
    <n v="35300"/>
    <n v="211800"/>
  </r>
  <r>
    <s v="ORD-0101"/>
    <x v="85"/>
    <s v="Ayesha Noor"/>
    <x v="0"/>
    <x v="3"/>
    <x v="1"/>
    <n v="7"/>
    <n v="80800"/>
    <n v="565600"/>
  </r>
  <r>
    <s v="ORD-0427"/>
    <x v="174"/>
    <s v="Hassan Shah"/>
    <x v="1"/>
    <x v="8"/>
    <x v="0"/>
    <n v="6"/>
    <n v="9000"/>
    <n v="54000"/>
  </r>
  <r>
    <s v="ORD-0179"/>
    <x v="23"/>
    <s v="Ayesha Noor"/>
    <x v="2"/>
    <x v="2"/>
    <x v="2"/>
    <n v="1"/>
    <n v="26300"/>
    <n v="26300"/>
  </r>
  <r>
    <s v="ORD-0445"/>
    <x v="126"/>
    <s v="Danish Raza"/>
    <x v="4"/>
    <x v="3"/>
    <x v="1"/>
    <n v="3"/>
    <n v="74400"/>
    <n v="223200"/>
  </r>
  <r>
    <s v="ORD-0417"/>
    <x v="173"/>
    <s v="Fatima Ali"/>
    <x v="1"/>
    <x v="6"/>
    <x v="0"/>
    <n v="3"/>
    <n v="7100"/>
    <n v="21300"/>
  </r>
  <r>
    <s v="ORD-0651"/>
    <x v="91"/>
    <s v="Saad Khan"/>
    <x v="0"/>
    <x v="10"/>
    <x v="0"/>
    <n v="5"/>
    <n v="6100"/>
    <n v="30500"/>
  </r>
  <r>
    <s v="ORD-0886"/>
    <x v="67"/>
    <s v="Saad Khan"/>
    <x v="3"/>
    <x v="0"/>
    <x v="0"/>
    <n v="5"/>
    <n v="2800"/>
    <n v="14000"/>
  </r>
  <r>
    <s v="ORD-0983"/>
    <x v="137"/>
    <s v="Hassan Shah"/>
    <x v="0"/>
    <x v="8"/>
    <x v="0"/>
    <n v="7"/>
    <n v="8600"/>
    <n v="60200"/>
  </r>
  <r>
    <s v="ORD-0178"/>
    <x v="51"/>
    <s v="Ahmed Ali"/>
    <x v="3"/>
    <x v="1"/>
    <x v="1"/>
    <n v="8"/>
    <n v="31500"/>
    <n v="252000"/>
  </r>
  <r>
    <s v="ORD-0396"/>
    <x v="12"/>
    <s v="Ahmed Ali"/>
    <x v="1"/>
    <x v="8"/>
    <x v="0"/>
    <n v="2"/>
    <n v="9000"/>
    <n v="18000"/>
  </r>
  <r>
    <s v="ORD-0680"/>
    <x v="2"/>
    <s v="Fatima Ali"/>
    <x v="3"/>
    <x v="3"/>
    <x v="1"/>
    <n v="2"/>
    <n v="84300"/>
    <n v="168600"/>
  </r>
  <r>
    <s v="ORD-0797"/>
    <x v="81"/>
    <s v="Hassan Shah"/>
    <x v="1"/>
    <x v="6"/>
    <x v="0"/>
    <n v="8"/>
    <n v="6800"/>
    <n v="54400"/>
  </r>
  <r>
    <s v="ORD-0964"/>
    <x v="110"/>
    <s v="Sara Khan"/>
    <x v="1"/>
    <x v="4"/>
    <x v="0"/>
    <n v="3"/>
    <n v="4500"/>
    <n v="13500"/>
  </r>
  <r>
    <s v="ORD-0688"/>
    <x v="1"/>
    <s v="Saad Khan"/>
    <x v="2"/>
    <x v="0"/>
    <x v="0"/>
    <n v="1"/>
    <n v="2600"/>
    <n v="2600"/>
  </r>
  <r>
    <s v="ORD-0384"/>
    <x v="54"/>
    <s v="Ali Khan"/>
    <x v="2"/>
    <x v="7"/>
    <x v="3"/>
    <n v="6"/>
    <n v="19300"/>
    <n v="115800"/>
  </r>
  <r>
    <s v="ORD-0960"/>
    <x v="175"/>
    <s v="Saad Khan"/>
    <x v="1"/>
    <x v="7"/>
    <x v="3"/>
    <n v="4"/>
    <n v="19700"/>
    <n v="78800"/>
  </r>
  <r>
    <s v="ORD-0616"/>
    <x v="141"/>
    <s v="Hassan Shah"/>
    <x v="0"/>
    <x v="9"/>
    <x v="3"/>
    <n v="2"/>
    <n v="33900"/>
    <n v="67800"/>
  </r>
  <r>
    <s v="ORD-0258"/>
    <x v="80"/>
    <s v="Saad Khan"/>
    <x v="3"/>
    <x v="1"/>
    <x v="1"/>
    <n v="7"/>
    <n v="34600"/>
    <n v="242200"/>
  </r>
  <r>
    <s v="ORD-0336"/>
    <x v="159"/>
    <s v="Saad Khan"/>
    <x v="4"/>
    <x v="4"/>
    <x v="0"/>
    <n v="6"/>
    <n v="5000"/>
    <n v="30000"/>
  </r>
  <r>
    <s v="ORD-0016"/>
    <x v="117"/>
    <s v="Danish Raza"/>
    <x v="1"/>
    <x v="2"/>
    <x v="2"/>
    <n v="4"/>
    <n v="29300"/>
    <n v="117200"/>
  </r>
  <r>
    <s v="ORD-0325"/>
    <x v="173"/>
    <s v="Ali Khan"/>
    <x v="5"/>
    <x v="4"/>
    <x v="0"/>
    <n v="3"/>
    <n v="4400"/>
    <n v="13200"/>
  </r>
  <r>
    <s v="ORD-0762"/>
    <x v="70"/>
    <s v="Hassan Shah"/>
    <x v="4"/>
    <x v="2"/>
    <x v="2"/>
    <n v="4"/>
    <n v="31200"/>
    <n v="124800"/>
  </r>
  <r>
    <s v="ORD-0223"/>
    <x v="156"/>
    <s v="Danish Raza"/>
    <x v="1"/>
    <x v="2"/>
    <x v="2"/>
    <n v="5"/>
    <n v="26900"/>
    <n v="134500"/>
  </r>
  <r>
    <s v="ORD-0180"/>
    <x v="64"/>
    <s v="Hamza Raza"/>
    <x v="2"/>
    <x v="0"/>
    <x v="0"/>
    <n v="7"/>
    <n v="2500"/>
    <n v="17500"/>
  </r>
  <r>
    <s v="ORD-0987"/>
    <x v="85"/>
    <s v="Zain Ahmed"/>
    <x v="0"/>
    <x v="1"/>
    <x v="1"/>
    <n v="7"/>
    <n v="35200"/>
    <n v="246400"/>
  </r>
  <r>
    <s v="ORD-0023"/>
    <x v="36"/>
    <s v="Fatima Ali"/>
    <x v="2"/>
    <x v="5"/>
    <x v="1"/>
    <n v="3"/>
    <n v="54200"/>
    <n v="162600"/>
  </r>
  <r>
    <s v="ORD-0357"/>
    <x v="118"/>
    <s v="Fatima Ali"/>
    <x v="0"/>
    <x v="0"/>
    <x v="0"/>
    <n v="1"/>
    <n v="2600"/>
    <n v="2600"/>
  </r>
  <r>
    <s v="ORD-0670"/>
    <x v="93"/>
    <s v="Bilal Ahmed"/>
    <x v="0"/>
    <x v="2"/>
    <x v="2"/>
    <n v="5"/>
    <n v="29200"/>
    <n v="146000"/>
  </r>
  <r>
    <s v="ORD-0865"/>
    <x v="19"/>
    <s v="Sara Khan"/>
    <x v="3"/>
    <x v="2"/>
    <x v="2"/>
    <n v="7"/>
    <n v="31000"/>
    <n v="217000"/>
  </r>
  <r>
    <s v="ORD-0341"/>
    <x v="21"/>
    <s v="Sara Khan"/>
    <x v="1"/>
    <x v="0"/>
    <x v="0"/>
    <n v="3"/>
    <n v="2500"/>
    <n v="7500"/>
  </r>
  <r>
    <s v="ORD-0432"/>
    <x v="176"/>
    <s v="Hamza Raza"/>
    <x v="2"/>
    <x v="8"/>
    <x v="0"/>
    <n v="3"/>
    <n v="8600"/>
    <n v="25800"/>
  </r>
  <r>
    <s v="ORD-0553"/>
    <x v="72"/>
    <s v="Ahmed Ali"/>
    <x v="2"/>
    <x v="1"/>
    <x v="1"/>
    <n v="5"/>
    <n v="37100"/>
    <n v="185500"/>
  </r>
  <r>
    <s v="ORD-0837"/>
    <x v="13"/>
    <s v="Ahmed Ali"/>
    <x v="3"/>
    <x v="3"/>
    <x v="1"/>
    <n v="3"/>
    <n v="82200"/>
    <n v="246600"/>
  </r>
  <r>
    <s v="ORD-0204"/>
    <x v="9"/>
    <s v="Ahmed Ali"/>
    <x v="0"/>
    <x v="9"/>
    <x v="3"/>
    <n v="7"/>
    <n v="34000"/>
    <n v="238000"/>
  </r>
  <r>
    <s v="ORD-0634"/>
    <x v="12"/>
    <s v="Ahmed Ali"/>
    <x v="4"/>
    <x v="2"/>
    <x v="2"/>
    <n v="7"/>
    <n v="26900"/>
    <n v="188300"/>
  </r>
  <r>
    <s v="ORD-0094"/>
    <x v="93"/>
    <s v="Sara Khan"/>
    <x v="3"/>
    <x v="7"/>
    <x v="3"/>
    <n v="8"/>
    <n v="22800"/>
    <n v="182400"/>
  </r>
  <r>
    <s v="ORD-0560"/>
    <x v="73"/>
    <s v="Ali Khan"/>
    <x v="5"/>
    <x v="8"/>
    <x v="0"/>
    <n v="3"/>
    <n v="7700"/>
    <n v="23100"/>
  </r>
  <r>
    <s v="ORD-0069"/>
    <x v="37"/>
    <s v="Hassan Shah"/>
    <x v="4"/>
    <x v="3"/>
    <x v="1"/>
    <n v="8"/>
    <n v="77900"/>
    <n v="623200"/>
  </r>
  <r>
    <s v="ORD-0626"/>
    <x v="164"/>
    <s v="Hassan Shah"/>
    <x v="2"/>
    <x v="9"/>
    <x v="3"/>
    <n v="7"/>
    <n v="26900"/>
    <n v="188300"/>
  </r>
  <r>
    <s v="ORD-0285"/>
    <x v="177"/>
    <s v="Ahmed Ali"/>
    <x v="4"/>
    <x v="8"/>
    <x v="0"/>
    <n v="8"/>
    <n v="8300"/>
    <n v="66400"/>
  </r>
  <r>
    <s v="ORD-0808"/>
    <x v="109"/>
    <s v="Ali Khan"/>
    <x v="5"/>
    <x v="7"/>
    <x v="3"/>
    <n v="3"/>
    <n v="21600"/>
    <n v="64800"/>
  </r>
  <r>
    <s v="ORD-0435"/>
    <x v="61"/>
    <s v="Usman Malik"/>
    <x v="3"/>
    <x v="3"/>
    <x v="1"/>
    <n v="7"/>
    <n v="75800"/>
    <n v="530600"/>
  </r>
  <r>
    <s v="ORD-0154"/>
    <x v="112"/>
    <s v="Sara Khan"/>
    <x v="4"/>
    <x v="1"/>
    <x v="1"/>
    <n v="3"/>
    <n v="33200"/>
    <n v="99600"/>
  </r>
  <r>
    <s v="ORD-0076"/>
    <x v="144"/>
    <s v="Danish Raza"/>
    <x v="0"/>
    <x v="3"/>
    <x v="1"/>
    <n v="7"/>
    <n v="72300"/>
    <n v="506100"/>
  </r>
  <r>
    <s v="ORD-0821"/>
    <x v="66"/>
    <s v="Zain Ahmed"/>
    <x v="3"/>
    <x v="4"/>
    <x v="0"/>
    <n v="2"/>
    <n v="4100"/>
    <n v="8200"/>
  </r>
  <r>
    <s v="ORD-0447"/>
    <x v="87"/>
    <s v="Danish Raza"/>
    <x v="4"/>
    <x v="9"/>
    <x v="3"/>
    <n v="8"/>
    <n v="27900"/>
    <n v="223200"/>
  </r>
  <r>
    <s v="ORD-0189"/>
    <x v="178"/>
    <s v="Zain Ahmed"/>
    <x v="4"/>
    <x v="9"/>
    <x v="3"/>
    <n v="6"/>
    <n v="27500"/>
    <n v="165000"/>
  </r>
  <r>
    <s v="ORD-0272"/>
    <x v="112"/>
    <s v="Zain Ahmed"/>
    <x v="2"/>
    <x v="5"/>
    <x v="1"/>
    <n v="3"/>
    <n v="49400"/>
    <n v="148200"/>
  </r>
  <r>
    <s v="ORD-0237"/>
    <x v="123"/>
    <s v="Sara Khan"/>
    <x v="5"/>
    <x v="1"/>
    <x v="1"/>
    <n v="5"/>
    <n v="34400"/>
    <n v="172000"/>
  </r>
  <r>
    <s v="ORD-0488"/>
    <x v="161"/>
    <s v="Saad Khan"/>
    <x v="0"/>
    <x v="8"/>
    <x v="0"/>
    <n v="6"/>
    <n v="7900"/>
    <n v="47400"/>
  </r>
  <r>
    <s v="ORD-0118"/>
    <x v="152"/>
    <s v="Bilal Ahmed"/>
    <x v="4"/>
    <x v="7"/>
    <x v="3"/>
    <n v="8"/>
    <n v="21800"/>
    <n v="174400"/>
  </r>
  <r>
    <s v="ORD-0914"/>
    <x v="170"/>
    <s v="Hassan Shah"/>
    <x v="2"/>
    <x v="0"/>
    <x v="0"/>
    <n v="8"/>
    <n v="2400"/>
    <n v="19200"/>
  </r>
  <r>
    <s v="ORD-0513"/>
    <x v="59"/>
    <s v="Saad Khan"/>
    <x v="4"/>
    <x v="0"/>
    <x v="0"/>
    <n v="4"/>
    <n v="2700"/>
    <n v="10800"/>
  </r>
  <r>
    <s v="ORD-0555"/>
    <x v="108"/>
    <s v="Hamza Raza"/>
    <x v="0"/>
    <x v="6"/>
    <x v="0"/>
    <n v="3"/>
    <n v="5800"/>
    <n v="17400"/>
  </r>
  <r>
    <s v="ORD-0595"/>
    <x v="139"/>
    <s v="Usman Malik"/>
    <x v="0"/>
    <x v="1"/>
    <x v="1"/>
    <n v="5"/>
    <n v="33800"/>
    <n v="169000"/>
  </r>
  <r>
    <s v="ORD-0127"/>
    <x v="43"/>
    <s v="Ali Khan"/>
    <x v="0"/>
    <x v="8"/>
    <x v="0"/>
    <n v="5"/>
    <n v="7500"/>
    <n v="37500"/>
  </r>
  <r>
    <s v="ORD-0117"/>
    <x v="82"/>
    <s v="Bilal Ahmed"/>
    <x v="5"/>
    <x v="5"/>
    <x v="1"/>
    <n v="3"/>
    <n v="58900"/>
    <n v="176700"/>
  </r>
  <r>
    <s v="ORD-0474"/>
    <x v="96"/>
    <s v="Saad Khan"/>
    <x v="2"/>
    <x v="7"/>
    <x v="3"/>
    <n v="1"/>
    <n v="25000"/>
    <n v="25000"/>
  </r>
  <r>
    <s v="ORD-0697"/>
    <x v="156"/>
    <s v="Usman Malik"/>
    <x v="0"/>
    <x v="1"/>
    <x v="1"/>
    <n v="5"/>
    <n v="34700"/>
    <n v="173500"/>
  </r>
  <r>
    <s v="ORD-0058"/>
    <x v="179"/>
    <s v="Saad Khan"/>
    <x v="4"/>
    <x v="4"/>
    <x v="0"/>
    <n v="5"/>
    <n v="4200"/>
    <n v="21000"/>
  </r>
  <r>
    <s v="ORD-0678"/>
    <x v="169"/>
    <s v="Ayesha Noor"/>
    <x v="4"/>
    <x v="0"/>
    <x v="0"/>
    <n v="6"/>
    <n v="2300"/>
    <n v="13800"/>
  </r>
  <r>
    <s v="ORD-0916"/>
    <x v="180"/>
    <s v="Ali Khan"/>
    <x v="2"/>
    <x v="2"/>
    <x v="2"/>
    <n v="1"/>
    <n v="31100"/>
    <n v="31100"/>
  </r>
  <r>
    <s v="ORD-0370"/>
    <x v="144"/>
    <s v="Bilal Ahmed"/>
    <x v="5"/>
    <x v="8"/>
    <x v="0"/>
    <n v="4"/>
    <n v="7300"/>
    <n v="29200"/>
  </r>
  <r>
    <s v="ORD-0269"/>
    <x v="40"/>
    <s v="Hassan Shah"/>
    <x v="1"/>
    <x v="3"/>
    <x v="1"/>
    <n v="6"/>
    <n v="80100"/>
    <n v="480600"/>
  </r>
  <r>
    <s v="ORD-0047"/>
    <x v="125"/>
    <s v="Ali Khan"/>
    <x v="2"/>
    <x v="8"/>
    <x v="0"/>
    <n v="3"/>
    <n v="6900"/>
    <n v="20700"/>
  </r>
  <r>
    <s v="ORD-0350"/>
    <x v="97"/>
    <s v="Saad Khan"/>
    <x v="4"/>
    <x v="5"/>
    <x v="1"/>
    <n v="1"/>
    <n v="47500"/>
    <n v="47500"/>
  </r>
  <r>
    <s v="ORD-0196"/>
    <x v="175"/>
    <s v="Saad Khan"/>
    <x v="0"/>
    <x v="7"/>
    <x v="3"/>
    <n v="2"/>
    <n v="21700"/>
    <n v="43400"/>
  </r>
  <r>
    <s v="ORD-0838"/>
    <x v="126"/>
    <s v="Ali Khan"/>
    <x v="3"/>
    <x v="4"/>
    <x v="0"/>
    <n v="8"/>
    <n v="5100"/>
    <n v="40800"/>
  </r>
  <r>
    <s v="ORD-0740"/>
    <x v="67"/>
    <s v="Saad Khan"/>
    <x v="5"/>
    <x v="4"/>
    <x v="0"/>
    <n v="3"/>
    <n v="4400"/>
    <n v="13200"/>
  </r>
  <r>
    <s v="ORD-0264"/>
    <x v="129"/>
    <s v="Bilal Ahmed"/>
    <x v="4"/>
    <x v="2"/>
    <x v="2"/>
    <n v="2"/>
    <n v="28500"/>
    <n v="57000"/>
  </r>
  <r>
    <s v="ORD-0444"/>
    <x v="20"/>
    <s v="Ahmed Ali"/>
    <x v="0"/>
    <x v="5"/>
    <x v="1"/>
    <n v="7"/>
    <n v="53000"/>
    <n v="371000"/>
  </r>
  <r>
    <s v="ORD-0679"/>
    <x v="96"/>
    <s v="Ali Khan"/>
    <x v="1"/>
    <x v="2"/>
    <x v="2"/>
    <n v="5"/>
    <n v="28700"/>
    <n v="143500"/>
  </r>
  <r>
    <s v="ORD-0305"/>
    <x v="70"/>
    <s v="Bilal Ahmed"/>
    <x v="4"/>
    <x v="2"/>
    <x v="2"/>
    <n v="2"/>
    <n v="24500"/>
    <n v="49000"/>
  </r>
  <r>
    <s v="ORD-0342"/>
    <x v="134"/>
    <s v="Fatima Ali"/>
    <x v="1"/>
    <x v="6"/>
    <x v="0"/>
    <n v="8"/>
    <n v="5600"/>
    <n v="44800"/>
  </r>
  <r>
    <s v="ORD-0602"/>
    <x v="19"/>
    <s v="Hamza Raza"/>
    <x v="2"/>
    <x v="5"/>
    <x v="1"/>
    <n v="6"/>
    <n v="62200"/>
    <n v="373200"/>
  </r>
  <r>
    <s v="ORD-0970"/>
    <x v="43"/>
    <s v="Usman Malik"/>
    <x v="0"/>
    <x v="8"/>
    <x v="0"/>
    <n v="1"/>
    <n v="9000"/>
    <n v="9000"/>
  </r>
  <r>
    <s v="ORD-0150"/>
    <x v="175"/>
    <s v="Zain Ahmed"/>
    <x v="5"/>
    <x v="3"/>
    <x v="1"/>
    <n v="2"/>
    <n v="78100"/>
    <n v="156200"/>
  </r>
  <r>
    <s v="ORD-0125"/>
    <x v="155"/>
    <s v="Hassan Shah"/>
    <x v="1"/>
    <x v="5"/>
    <x v="1"/>
    <n v="4"/>
    <n v="51800"/>
    <n v="207200"/>
  </r>
  <r>
    <s v="ORD-0790"/>
    <x v="48"/>
    <s v="Saad Khan"/>
    <x v="0"/>
    <x v="4"/>
    <x v="0"/>
    <n v="1"/>
    <n v="4200"/>
    <n v="4200"/>
  </r>
  <r>
    <s v="ORD-0826"/>
    <x v="73"/>
    <s v="Sara Khan"/>
    <x v="2"/>
    <x v="9"/>
    <x v="3"/>
    <n v="2"/>
    <n v="29300"/>
    <n v="58600"/>
  </r>
  <r>
    <s v="ORD-0051"/>
    <x v="83"/>
    <s v="Danish Raza"/>
    <x v="0"/>
    <x v="2"/>
    <x v="2"/>
    <n v="4"/>
    <n v="26000"/>
    <n v="104000"/>
  </r>
  <r>
    <s v="ORD-0354"/>
    <x v="137"/>
    <s v="Hassan Shah"/>
    <x v="4"/>
    <x v="9"/>
    <x v="3"/>
    <n v="5"/>
    <n v="29800"/>
    <n v="149000"/>
  </r>
  <r>
    <s v="ORD-0931"/>
    <x v="156"/>
    <s v="Zain Ahmed"/>
    <x v="4"/>
    <x v="7"/>
    <x v="3"/>
    <n v="8"/>
    <n v="23800"/>
    <n v="190400"/>
  </r>
  <r>
    <s v="ORD-0143"/>
    <x v="67"/>
    <s v="Sara Khan"/>
    <x v="2"/>
    <x v="0"/>
    <x v="0"/>
    <n v="5"/>
    <n v="2700"/>
    <n v="13500"/>
  </r>
  <r>
    <s v="ORD-0471"/>
    <x v="159"/>
    <s v="Bilal Ahmed"/>
    <x v="0"/>
    <x v="2"/>
    <x v="2"/>
    <n v="3"/>
    <n v="31900"/>
    <n v="95700"/>
  </r>
  <r>
    <s v="ORD-0400"/>
    <x v="78"/>
    <s v="Sara Khan"/>
    <x v="3"/>
    <x v="7"/>
    <x v="3"/>
    <n v="1"/>
    <n v="24900"/>
    <n v="24900"/>
  </r>
  <r>
    <s v="ORD-0629"/>
    <x v="147"/>
    <s v="Ahmed Ali"/>
    <x v="1"/>
    <x v="7"/>
    <x v="3"/>
    <n v="8"/>
    <n v="19700"/>
    <n v="157600"/>
  </r>
  <r>
    <s v="ORD-0321"/>
    <x v="160"/>
    <s v="Ali Khan"/>
    <x v="4"/>
    <x v="8"/>
    <x v="0"/>
    <n v="3"/>
    <n v="8300"/>
    <n v="24900"/>
  </r>
  <r>
    <s v="ORD-0020"/>
    <x v="129"/>
    <s v="Ayesha Noor"/>
    <x v="5"/>
    <x v="4"/>
    <x v="0"/>
    <n v="7"/>
    <n v="4600"/>
    <n v="32200"/>
  </r>
  <r>
    <s v="ORD-0881"/>
    <x v="33"/>
    <s v="Hamza Raza"/>
    <x v="0"/>
    <x v="9"/>
    <x v="3"/>
    <n v="5"/>
    <n v="29700"/>
    <n v="148500"/>
  </r>
  <r>
    <s v="ORD-0794"/>
    <x v="1"/>
    <s v="Ali Khan"/>
    <x v="0"/>
    <x v="4"/>
    <x v="0"/>
    <n v="4"/>
    <n v="4200"/>
    <n v="16800"/>
  </r>
  <r>
    <s v="ORD-0812"/>
    <x v="111"/>
    <s v="Zain Ahmed"/>
    <x v="5"/>
    <x v="5"/>
    <x v="1"/>
    <n v="1"/>
    <n v="50800"/>
    <n v="50800"/>
  </r>
  <r>
    <s v="ORD-0408"/>
    <x v="78"/>
    <s v="Ali Khan"/>
    <x v="5"/>
    <x v="5"/>
    <x v="1"/>
    <n v="1"/>
    <n v="50700"/>
    <n v="50700"/>
  </r>
  <r>
    <s v="ORD-0538"/>
    <x v="103"/>
    <s v="Usman Malik"/>
    <x v="3"/>
    <x v="4"/>
    <x v="0"/>
    <n v="7"/>
    <n v="4700"/>
    <n v="32900"/>
  </r>
  <r>
    <s v="ORD-0696"/>
    <x v="69"/>
    <s v="Sara Khan"/>
    <x v="1"/>
    <x v="3"/>
    <x v="1"/>
    <n v="1"/>
    <n v="89800"/>
    <n v="89800"/>
  </r>
  <r>
    <s v="ORD-0039"/>
    <x v="105"/>
    <s v="Usman Malik"/>
    <x v="2"/>
    <x v="5"/>
    <x v="1"/>
    <n v="6"/>
    <n v="60000"/>
    <n v="360000"/>
  </r>
  <r>
    <s v="ORD-0176"/>
    <x v="135"/>
    <s v="Danish Raza"/>
    <x v="0"/>
    <x v="7"/>
    <x v="3"/>
    <n v="1"/>
    <n v="22800"/>
    <n v="22800"/>
  </r>
  <r>
    <s v="ORD-0246"/>
    <x v="127"/>
    <s v="Ahmed Ali"/>
    <x v="4"/>
    <x v="5"/>
    <x v="1"/>
    <n v="7"/>
    <n v="51500"/>
    <n v="360500"/>
  </r>
  <r>
    <s v="ORD-0951"/>
    <x v="37"/>
    <s v="Hassan Shah"/>
    <x v="2"/>
    <x v="9"/>
    <x v="3"/>
    <n v="3"/>
    <n v="26300"/>
    <n v="78900"/>
  </r>
  <r>
    <s v="ORD-0671"/>
    <x v="72"/>
    <s v="Ahmed Ali"/>
    <x v="5"/>
    <x v="6"/>
    <x v="0"/>
    <n v="4"/>
    <n v="5800"/>
    <n v="23200"/>
  </r>
  <r>
    <s v="ORD-0758"/>
    <x v="154"/>
    <s v="Zain Ahmed"/>
    <x v="3"/>
    <x v="8"/>
    <x v="0"/>
    <n v="3"/>
    <n v="6900"/>
    <n v="20700"/>
  </r>
  <r>
    <s v="ORD-0862"/>
    <x v="31"/>
    <s v="Bilal Ahmed"/>
    <x v="1"/>
    <x v="2"/>
    <x v="2"/>
    <n v="6"/>
    <n v="27900"/>
    <n v="167400"/>
  </r>
  <r>
    <s v="ORD-0155"/>
    <x v="27"/>
    <s v="Bilal Ahmed"/>
    <x v="4"/>
    <x v="5"/>
    <x v="1"/>
    <n v="1"/>
    <n v="54300"/>
    <n v="54300"/>
  </r>
  <r>
    <s v="ORD-0288"/>
    <x v="22"/>
    <s v="Zain Ahmed"/>
    <x v="5"/>
    <x v="5"/>
    <x v="1"/>
    <n v="8"/>
    <n v="47800"/>
    <n v="382400"/>
  </r>
  <r>
    <s v="ORD-0606"/>
    <x v="48"/>
    <s v="Ahmed Ali"/>
    <x v="5"/>
    <x v="1"/>
    <x v="1"/>
    <n v="1"/>
    <n v="32200"/>
    <n v="32200"/>
  </r>
  <r>
    <s v="ORD-0570"/>
    <x v="112"/>
    <s v="Ahmed Ali"/>
    <x v="4"/>
    <x v="7"/>
    <x v="3"/>
    <n v="6"/>
    <n v="22900"/>
    <n v="137400"/>
  </r>
  <r>
    <s v="ORD-0747"/>
    <x v="165"/>
    <s v="Bilal Ahmed"/>
    <x v="0"/>
    <x v="0"/>
    <x v="0"/>
    <n v="5"/>
    <n v="2700"/>
    <n v="13500"/>
  </r>
  <r>
    <s v="ORD-0018"/>
    <x v="14"/>
    <s v="Hassan Shah"/>
    <x v="2"/>
    <x v="9"/>
    <x v="3"/>
    <n v="7"/>
    <n v="33600"/>
    <n v="235200"/>
  </r>
  <r>
    <s v="ORD-0128"/>
    <x v="144"/>
    <s v="Saad Khan"/>
    <x v="2"/>
    <x v="0"/>
    <x v="0"/>
    <n v="6"/>
    <n v="2200"/>
    <n v="13200"/>
  </r>
  <r>
    <s v="ORD-0323"/>
    <x v="52"/>
    <s v="Sara Khan"/>
    <x v="0"/>
    <x v="4"/>
    <x v="0"/>
    <n v="6"/>
    <n v="4700"/>
    <n v="28200"/>
  </r>
  <r>
    <s v="ORD-0256"/>
    <x v="102"/>
    <s v="Bilal Ahmed"/>
    <x v="1"/>
    <x v="9"/>
    <x v="3"/>
    <n v="1"/>
    <n v="28700"/>
    <n v="28700"/>
  </r>
  <r>
    <s v="ORD-0661"/>
    <x v="129"/>
    <s v="Ahmed Ali"/>
    <x v="2"/>
    <x v="6"/>
    <x v="0"/>
    <n v="2"/>
    <n v="6100"/>
    <n v="12200"/>
  </r>
  <r>
    <s v="ORD-0968"/>
    <x v="53"/>
    <s v="Ahmed Ali"/>
    <x v="4"/>
    <x v="0"/>
    <x v="0"/>
    <n v="6"/>
    <n v="2400"/>
    <n v="14400"/>
  </r>
  <r>
    <s v="ORD-0191"/>
    <x v="83"/>
    <s v="Ali Khan"/>
    <x v="4"/>
    <x v="8"/>
    <x v="0"/>
    <n v="1"/>
    <n v="8200"/>
    <n v="8200"/>
  </r>
  <r>
    <s v="ORD-0116"/>
    <x v="37"/>
    <s v="Saad Khan"/>
    <x v="2"/>
    <x v="5"/>
    <x v="1"/>
    <n v="6"/>
    <n v="57200"/>
    <n v="343200"/>
  </r>
  <r>
    <s v="ORD-0799"/>
    <x v="70"/>
    <s v="Usman Malik"/>
    <x v="5"/>
    <x v="5"/>
    <x v="1"/>
    <n v="6"/>
    <n v="55000"/>
    <n v="330000"/>
  </r>
  <r>
    <s v="ORD-0607"/>
    <x v="66"/>
    <s v="Usman Malik"/>
    <x v="2"/>
    <x v="8"/>
    <x v="0"/>
    <n v="1"/>
    <n v="7600"/>
    <n v="7600"/>
  </r>
  <r>
    <s v="ORD-0181"/>
    <x v="72"/>
    <s v="Sara Khan"/>
    <x v="5"/>
    <x v="1"/>
    <x v="1"/>
    <n v="7"/>
    <n v="36300"/>
    <n v="254100"/>
  </r>
  <r>
    <s v="ORD-0302"/>
    <x v="142"/>
    <s v="Sara Khan"/>
    <x v="0"/>
    <x v="8"/>
    <x v="0"/>
    <n v="7"/>
    <n v="7600"/>
    <n v="53200"/>
  </r>
  <r>
    <s v="ORD-0763"/>
    <x v="99"/>
    <s v="Fatima Ali"/>
    <x v="1"/>
    <x v="2"/>
    <x v="2"/>
    <n v="5"/>
    <n v="25600"/>
    <n v="128000"/>
  </r>
  <r>
    <s v="ORD-0716"/>
    <x v="54"/>
    <s v="Hassan Shah"/>
    <x v="5"/>
    <x v="7"/>
    <x v="3"/>
    <n v="4"/>
    <n v="25200"/>
    <n v="100800"/>
  </r>
  <r>
    <s v="ORD-0900"/>
    <x v="120"/>
    <s v="Ayesha Noor"/>
    <x v="1"/>
    <x v="7"/>
    <x v="3"/>
    <n v="6"/>
    <n v="19900"/>
    <n v="119400"/>
  </r>
  <r>
    <s v="ORD-0689"/>
    <x v="145"/>
    <s v="Ayesha Noor"/>
    <x v="5"/>
    <x v="0"/>
    <x v="0"/>
    <n v="6"/>
    <n v="2400"/>
    <n v="14400"/>
  </r>
  <r>
    <s v="ORD-0665"/>
    <x v="169"/>
    <s v="Saad Khan"/>
    <x v="0"/>
    <x v="3"/>
    <x v="1"/>
    <n v="4"/>
    <n v="78700"/>
    <n v="314800"/>
  </r>
  <r>
    <s v="ORD-0518"/>
    <x v="154"/>
    <s v="Usman Malik"/>
    <x v="0"/>
    <x v="4"/>
    <x v="0"/>
    <n v="3"/>
    <n v="4200"/>
    <n v="12600"/>
  </r>
  <r>
    <s v="ORD-0988"/>
    <x v="156"/>
    <s v="Ayesha Noor"/>
    <x v="4"/>
    <x v="0"/>
    <x v="0"/>
    <n v="7"/>
    <n v="2300"/>
    <n v="16100"/>
  </r>
  <r>
    <s v="ORD-0046"/>
    <x v="173"/>
    <s v="Ahmed Ali"/>
    <x v="5"/>
    <x v="9"/>
    <x v="3"/>
    <n v="1"/>
    <n v="32200"/>
    <n v="32200"/>
  </r>
  <r>
    <s v="ORD-0913"/>
    <x v="79"/>
    <s v="Fatima Ali"/>
    <x v="0"/>
    <x v="0"/>
    <x v="0"/>
    <n v="1"/>
    <n v="2300"/>
    <n v="2300"/>
  </r>
  <r>
    <s v="ORD-0158"/>
    <x v="95"/>
    <s v="Bilal Ahmed"/>
    <x v="5"/>
    <x v="8"/>
    <x v="0"/>
    <n v="8"/>
    <n v="8600"/>
    <n v="68800"/>
  </r>
  <r>
    <s v="ORD-0967"/>
    <x v="123"/>
    <s v="Hassan Shah"/>
    <x v="4"/>
    <x v="1"/>
    <x v="1"/>
    <n v="2"/>
    <n v="36800"/>
    <n v="73600"/>
  </r>
  <r>
    <s v="ORD-0172"/>
    <x v="76"/>
    <s v="Ahmed Ali"/>
    <x v="0"/>
    <x v="8"/>
    <x v="0"/>
    <n v="2"/>
    <n v="8100"/>
    <n v="16200"/>
  </r>
  <r>
    <s v="ORD-0017"/>
    <x v="120"/>
    <s v="Fatima Ali"/>
    <x v="4"/>
    <x v="4"/>
    <x v="0"/>
    <n v="5"/>
    <n v="4000"/>
    <n v="20000"/>
  </r>
  <r>
    <s v="ORD-0512"/>
    <x v="160"/>
    <s v="Sara Khan"/>
    <x v="3"/>
    <x v="3"/>
    <x v="1"/>
    <n v="8"/>
    <n v="79000"/>
    <n v="632000"/>
  </r>
  <r>
    <s v="ORD-0049"/>
    <x v="57"/>
    <s v="Zain Ahmed"/>
    <x v="3"/>
    <x v="9"/>
    <x v="3"/>
    <n v="4"/>
    <n v="30700"/>
    <n v="122800"/>
  </r>
  <r>
    <s v="ORD-0975"/>
    <x v="54"/>
    <s v="Ahmed Ali"/>
    <x v="1"/>
    <x v="8"/>
    <x v="0"/>
    <n v="3"/>
    <n v="8500"/>
    <n v="25500"/>
  </r>
  <r>
    <s v="ORD-0844"/>
    <x v="147"/>
    <s v="Usman Malik"/>
    <x v="0"/>
    <x v="0"/>
    <x v="0"/>
    <n v="3"/>
    <n v="2600"/>
    <n v="7800"/>
  </r>
  <r>
    <s v="ORD-0516"/>
    <x v="90"/>
    <s v="Fatima Ali"/>
    <x v="0"/>
    <x v="2"/>
    <x v="2"/>
    <n v="5"/>
    <n v="26200"/>
    <n v="131000"/>
  </r>
  <r>
    <s v="ORD-0690"/>
    <x v="128"/>
    <s v="Bilal Ahmed"/>
    <x v="4"/>
    <x v="9"/>
    <x v="3"/>
    <n v="5"/>
    <n v="27000"/>
    <n v="135000"/>
  </r>
  <r>
    <s v="ORD-0481"/>
    <x v="84"/>
    <s v="Danish Raza"/>
    <x v="0"/>
    <x v="4"/>
    <x v="0"/>
    <n v="1"/>
    <n v="4600"/>
    <n v="4600"/>
  </r>
  <r>
    <s v="ORD-0284"/>
    <x v="122"/>
    <s v="Saad Khan"/>
    <x v="2"/>
    <x v="4"/>
    <x v="0"/>
    <n v="1"/>
    <n v="4200"/>
    <n v="4200"/>
  </r>
  <r>
    <s v="ORD-0722"/>
    <x v="132"/>
    <s v="Sara Khan"/>
    <x v="3"/>
    <x v="1"/>
    <x v="1"/>
    <n v="8"/>
    <n v="34400"/>
    <n v="275200"/>
  </r>
  <r>
    <s v="ORD-0658"/>
    <x v="150"/>
    <s v="Ayesha Noor"/>
    <x v="0"/>
    <x v="6"/>
    <x v="0"/>
    <n v="6"/>
    <n v="7100"/>
    <n v="42600"/>
  </r>
  <r>
    <s v="ORD-0226"/>
    <x v="7"/>
    <s v="unknown customer"/>
    <x v="0"/>
    <x v="2"/>
    <x v="2"/>
    <n v="2"/>
    <n v="27300"/>
    <n v="54600"/>
  </r>
  <r>
    <s v="ORD-0027"/>
    <x v="24"/>
    <s v="Ali Khan"/>
    <x v="3"/>
    <x v="0"/>
    <x v="0"/>
    <n v="1"/>
    <n v="2300"/>
    <n v="2300"/>
  </r>
  <r>
    <s v="ORD-0786"/>
    <x v="62"/>
    <s v="Hamza Raza"/>
    <x v="0"/>
    <x v="0"/>
    <x v="0"/>
    <n v="8"/>
    <n v="2800"/>
    <n v="22400"/>
  </r>
  <r>
    <s v="ORD-0438"/>
    <x v="136"/>
    <s v="Saad Khan"/>
    <x v="4"/>
    <x v="7"/>
    <x v="3"/>
    <n v="7"/>
    <n v="18800"/>
    <n v="131600"/>
  </r>
  <r>
    <s v="ORD-0955"/>
    <x v="51"/>
    <s v="Ahmed Ali"/>
    <x v="0"/>
    <x v="9"/>
    <x v="3"/>
    <n v="2"/>
    <n v="30900"/>
    <n v="61800"/>
  </r>
  <r>
    <s v="ORD-0365"/>
    <x v="51"/>
    <s v="Bilal Ahmed"/>
    <x v="0"/>
    <x v="6"/>
    <x v="0"/>
    <n v="4"/>
    <n v="7400"/>
    <n v="29600"/>
  </r>
  <r>
    <s v="ORD-0230"/>
    <x v="17"/>
    <s v="Saad Khan"/>
    <x v="4"/>
    <x v="5"/>
    <x v="1"/>
    <n v="1"/>
    <n v="56800"/>
    <n v="56800"/>
  </r>
  <r>
    <s v="ORD-0038"/>
    <x v="84"/>
    <s v="Ali Khan"/>
    <x v="3"/>
    <x v="8"/>
    <x v="0"/>
    <n v="1"/>
    <n v="8400"/>
    <n v="8400"/>
  </r>
  <r>
    <s v="ORD-0969"/>
    <x v="103"/>
    <s v="Zain Ahmed"/>
    <x v="2"/>
    <x v="4"/>
    <x v="0"/>
    <n v="6"/>
    <n v="4700"/>
    <n v="28200"/>
  </r>
  <r>
    <s v="ORD-0375"/>
    <x v="84"/>
    <s v="Ahmed Ali"/>
    <x v="3"/>
    <x v="0"/>
    <x v="0"/>
    <n v="5"/>
    <n v="2400"/>
    <n v="12000"/>
  </r>
  <r>
    <s v="ORD-0470"/>
    <x v="112"/>
    <s v="Usman Malik"/>
    <x v="1"/>
    <x v="4"/>
    <x v="0"/>
    <n v="5"/>
    <n v="4300"/>
    <n v="21500"/>
  </r>
  <r>
    <s v="ORD-0971"/>
    <x v="168"/>
    <s v="Ali Khan"/>
    <x v="0"/>
    <x v="2"/>
    <x v="2"/>
    <n v="3"/>
    <n v="30200"/>
    <n v="90600"/>
  </r>
  <r>
    <s v="ORD-0854"/>
    <x v="45"/>
    <s v="Hassan Shah"/>
    <x v="5"/>
    <x v="0"/>
    <x v="0"/>
    <n v="4"/>
    <n v="2700"/>
    <n v="10800"/>
  </r>
  <r>
    <s v="ORD-0708"/>
    <x v="118"/>
    <s v="Hassan Shah"/>
    <x v="4"/>
    <x v="3"/>
    <x v="1"/>
    <n v="3"/>
    <n v="89200"/>
    <n v="267600"/>
  </r>
  <r>
    <s v="ORD-0729"/>
    <x v="48"/>
    <s v="Ahmed Ali"/>
    <x v="4"/>
    <x v="1"/>
    <x v="1"/>
    <n v="2"/>
    <n v="37700"/>
    <n v="75400"/>
  </r>
  <r>
    <s v="ORD-0195"/>
    <x v="117"/>
    <s v="Ahmed Ali"/>
    <x v="4"/>
    <x v="5"/>
    <x v="1"/>
    <n v="6"/>
    <n v="48200"/>
    <n v="289200"/>
  </r>
  <r>
    <s v="ORD-0858"/>
    <x v="6"/>
    <s v="Usman Malik"/>
    <x v="0"/>
    <x v="4"/>
    <x v="0"/>
    <n v="4"/>
    <n v="4500"/>
    <n v="18000"/>
  </r>
  <r>
    <s v="ORD-0868"/>
    <x v="135"/>
    <s v="Bilal Ahmed"/>
    <x v="1"/>
    <x v="6"/>
    <x v="0"/>
    <n v="3"/>
    <n v="6600"/>
    <n v="19800"/>
  </r>
  <r>
    <s v="ORD-0504"/>
    <x v="153"/>
    <s v="Sara Khan"/>
    <x v="2"/>
    <x v="8"/>
    <x v="0"/>
    <n v="1"/>
    <n v="8900"/>
    <n v="8900"/>
  </r>
  <r>
    <s v="ORD-0973"/>
    <x v="122"/>
    <s v="Ahmed Ali"/>
    <x v="4"/>
    <x v="2"/>
    <x v="2"/>
    <n v="2"/>
    <n v="26400"/>
    <n v="52800"/>
  </r>
  <r>
    <s v="ORD-0834"/>
    <x v="50"/>
    <s v="Ayesha Noor"/>
    <x v="0"/>
    <x v="6"/>
    <x v="0"/>
    <n v="5"/>
    <n v="6700"/>
    <n v="33500"/>
  </r>
  <r>
    <s v="ORD-0580"/>
    <x v="62"/>
    <s v="Usman Malik"/>
    <x v="1"/>
    <x v="2"/>
    <x v="2"/>
    <n v="7"/>
    <n v="24800"/>
    <n v="173600"/>
  </r>
  <r>
    <s v="ORD-0972"/>
    <x v="33"/>
    <s v="Bilal Ahmed"/>
    <x v="3"/>
    <x v="3"/>
    <x v="1"/>
    <n v="4"/>
    <n v="96400"/>
    <n v="385600"/>
  </r>
  <r>
    <s v="ORD-0163"/>
    <x v="122"/>
    <s v="Usman Malik"/>
    <x v="1"/>
    <x v="6"/>
    <x v="0"/>
    <n v="7"/>
    <n v="7200"/>
    <n v="50400"/>
  </r>
  <r>
    <s v="ORD-0706"/>
    <x v="19"/>
    <s v="Ahmed Ali"/>
    <x v="4"/>
    <x v="8"/>
    <x v="0"/>
    <n v="1"/>
    <n v="7000"/>
    <n v="7000"/>
  </r>
  <r>
    <s v="ORD-0153"/>
    <x v="8"/>
    <s v="Hassan Shah"/>
    <x v="4"/>
    <x v="8"/>
    <x v="0"/>
    <n v="2"/>
    <n v="7900"/>
    <n v="15800"/>
  </r>
  <r>
    <s v="ORD-0685"/>
    <x v="160"/>
    <s v="Hamza Raza"/>
    <x v="5"/>
    <x v="4"/>
    <x v="0"/>
    <n v="8"/>
    <n v="4900"/>
    <n v="39200"/>
  </r>
  <r>
    <s v="ORD-0704"/>
    <x v="106"/>
    <s v="Fatima Ali"/>
    <x v="3"/>
    <x v="1"/>
    <x v="1"/>
    <n v="8"/>
    <n v="31300"/>
    <n v="250400"/>
  </r>
  <r>
    <s v="ORD-0759"/>
    <x v="132"/>
    <s v="Fatima Ali"/>
    <x v="4"/>
    <x v="9"/>
    <x v="3"/>
    <n v="5"/>
    <n v="29900"/>
    <n v="149500"/>
  </r>
  <r>
    <s v="ORD-0112"/>
    <x v="110"/>
    <s v="Ali Khan"/>
    <x v="5"/>
    <x v="6"/>
    <x v="0"/>
    <n v="7"/>
    <n v="6300"/>
    <n v="44100"/>
  </r>
  <r>
    <s v="ORD-0227"/>
    <x v="176"/>
    <s v="Ali Khan"/>
    <x v="5"/>
    <x v="3"/>
    <x v="1"/>
    <n v="5"/>
    <n v="87600"/>
    <n v="438000"/>
  </r>
  <r>
    <s v="ORD-0765"/>
    <x v="114"/>
    <s v="Hassan Shah"/>
    <x v="1"/>
    <x v="9"/>
    <x v="3"/>
    <n v="4"/>
    <n v="34100"/>
    <n v="136400"/>
  </r>
  <r>
    <s v="ORD-0104"/>
    <x v="100"/>
    <s v="Usman Malik"/>
    <x v="1"/>
    <x v="4"/>
    <x v="0"/>
    <n v="1"/>
    <n v="4200"/>
    <n v="4200"/>
  </r>
  <r>
    <s v="ORD-0422"/>
    <x v="47"/>
    <s v="Bilal Ahmed"/>
    <x v="3"/>
    <x v="7"/>
    <x v="3"/>
    <n v="4"/>
    <n v="21900"/>
    <n v="87600"/>
  </r>
  <r>
    <s v="ORD-0420"/>
    <x v="175"/>
    <s v="Zain Ahmed"/>
    <x v="5"/>
    <x v="0"/>
    <x v="0"/>
    <n v="1"/>
    <n v="2300"/>
    <n v="2300"/>
  </r>
  <r>
    <s v="ORD-0754"/>
    <x v="2"/>
    <s v="Bilal Ahmed"/>
    <x v="1"/>
    <x v="2"/>
    <x v="2"/>
    <n v="4"/>
    <n v="30300"/>
    <n v="121200"/>
  </r>
  <r>
    <s v="ORD-0587"/>
    <x v="84"/>
    <s v="Ali Khan"/>
    <x v="5"/>
    <x v="5"/>
    <x v="1"/>
    <n v="6"/>
    <n v="58100"/>
    <n v="348600"/>
  </r>
  <r>
    <s v="ORD-0784"/>
    <x v="24"/>
    <s v="Ahmed Ali"/>
    <x v="5"/>
    <x v="0"/>
    <x v="0"/>
    <n v="2"/>
    <n v="2300"/>
    <n v="4600"/>
  </r>
  <r>
    <s v="ORD-0673"/>
    <x v="127"/>
    <s v="Ayesha Noor"/>
    <x v="0"/>
    <x v="6"/>
    <x v="0"/>
    <n v="5"/>
    <n v="7300"/>
    <n v="36500"/>
  </r>
  <r>
    <s v="ORD-0120"/>
    <x v="131"/>
    <s v="Hassan Shah"/>
    <x v="2"/>
    <x v="9"/>
    <x v="3"/>
    <n v="7"/>
    <n v="28500"/>
    <n v="199500"/>
  </r>
  <r>
    <s v="ORD-0054"/>
    <x v="158"/>
    <s v="Hassan Shah"/>
    <x v="4"/>
    <x v="4"/>
    <x v="0"/>
    <n v="6"/>
    <n v="5000"/>
    <n v="30000"/>
  </r>
  <r>
    <s v="ORD-0152"/>
    <x v="39"/>
    <s v="Ayesha Noor"/>
    <x v="0"/>
    <x v="8"/>
    <x v="0"/>
    <n v="5"/>
    <n v="7200"/>
    <n v="36000"/>
  </r>
  <r>
    <s v="ORD-0404"/>
    <x v="144"/>
    <s v="Ayesha Noor"/>
    <x v="5"/>
    <x v="2"/>
    <x v="2"/>
    <n v="2"/>
    <n v="25300"/>
    <n v="50600"/>
  </r>
  <r>
    <s v="ORD-0949"/>
    <x v="48"/>
    <s v="Usman Malik"/>
    <x v="4"/>
    <x v="4"/>
    <x v="0"/>
    <n v="5"/>
    <n v="3800"/>
    <n v="19000"/>
  </r>
  <r>
    <s v="ORD-0208"/>
    <x v="158"/>
    <s v="Hamza Raza"/>
    <x v="5"/>
    <x v="3"/>
    <x v="1"/>
    <n v="1"/>
    <n v="92300"/>
    <n v="92300"/>
  </r>
  <r>
    <s v="ORD-0659"/>
    <x v="91"/>
    <s v="Zain Ahmed"/>
    <x v="1"/>
    <x v="1"/>
    <x v="1"/>
    <n v="1"/>
    <n v="32300"/>
    <n v="32300"/>
  </r>
  <r>
    <s v="ORD-0847"/>
    <x v="120"/>
    <s v="Zain Ahmed"/>
    <x v="4"/>
    <x v="1"/>
    <x v="1"/>
    <n v="2"/>
    <n v="35500"/>
    <n v="71000"/>
  </r>
  <r>
    <s v="ORD-0766"/>
    <x v="88"/>
    <s v="Ahmed Ali"/>
    <x v="5"/>
    <x v="1"/>
    <x v="1"/>
    <n v="7"/>
    <n v="32400"/>
    <n v="226800"/>
  </r>
  <r>
    <s v="ORD-0009"/>
    <x v="109"/>
    <s v="Bilal Ahmed"/>
    <x v="3"/>
    <x v="0"/>
    <x v="0"/>
    <n v="2"/>
    <n v="2200"/>
    <n v="4400"/>
  </r>
  <r>
    <s v="ORD-0811"/>
    <x v="152"/>
    <s v="Hamza Raza"/>
    <x v="0"/>
    <x v="8"/>
    <x v="0"/>
    <n v="8"/>
    <n v="7900"/>
    <n v="63200"/>
  </r>
  <r>
    <s v="ORD-0037"/>
    <x v="176"/>
    <s v="Ayesha Noor"/>
    <x v="1"/>
    <x v="1"/>
    <x v="1"/>
    <n v="2"/>
    <n v="36700"/>
    <n v="73400"/>
  </r>
  <r>
    <s v="ORD-0453"/>
    <x v="100"/>
    <s v="Ahmed Ali"/>
    <x v="0"/>
    <x v="2"/>
    <x v="2"/>
    <n v="7"/>
    <n v="31900"/>
    <n v="223300"/>
  </r>
  <r>
    <s v="ORD-0652"/>
    <x v="103"/>
    <s v="Hassan Shah"/>
    <x v="4"/>
    <x v="1"/>
    <x v="1"/>
    <n v="4"/>
    <n v="31200"/>
    <n v="124800"/>
  </r>
  <r>
    <s v="ORD-0254"/>
    <x v="1"/>
    <s v="Hassan Shah"/>
    <x v="2"/>
    <x v="9"/>
    <x v="3"/>
    <n v="6"/>
    <n v="33300"/>
    <n v="199800"/>
  </r>
  <r>
    <s v="ORD-0304"/>
    <x v="64"/>
    <s v="Fatima Ali"/>
    <x v="4"/>
    <x v="5"/>
    <x v="1"/>
    <n v="2"/>
    <n v="53900"/>
    <n v="107800"/>
  </r>
  <r>
    <s v="ORD-0750"/>
    <x v="120"/>
    <s v="Ayesha Noor"/>
    <x v="2"/>
    <x v="7"/>
    <x v="3"/>
    <n v="4"/>
    <n v="23600"/>
    <n v="94400"/>
  </r>
  <r>
    <s v="ORD-0572"/>
    <x v="172"/>
    <s v="Hamza Raza"/>
    <x v="0"/>
    <x v="7"/>
    <x v="3"/>
    <n v="4"/>
    <n v="21500"/>
    <n v="86000"/>
  </r>
  <r>
    <s v="ORD-0624"/>
    <x v="87"/>
    <s v="Fatima Ali"/>
    <x v="3"/>
    <x v="4"/>
    <x v="0"/>
    <n v="7"/>
    <n v="4000"/>
    <n v="28000"/>
  </r>
  <r>
    <s v="ORD-0713"/>
    <x v="62"/>
    <s v="Zain Ahmed"/>
    <x v="3"/>
    <x v="8"/>
    <x v="0"/>
    <n v="3"/>
    <n v="8300"/>
    <n v="24900"/>
  </r>
  <r>
    <s v="ORD-0723"/>
    <x v="22"/>
    <s v="Saad Khan"/>
    <x v="0"/>
    <x v="8"/>
    <x v="0"/>
    <n v="8"/>
    <n v="7600"/>
    <n v="60800"/>
  </r>
  <r>
    <s v="ORD-0263"/>
    <x v="84"/>
    <s v="Hassan Shah"/>
    <x v="3"/>
    <x v="2"/>
    <x v="2"/>
    <n v="1"/>
    <n v="30400"/>
    <n v="30400"/>
  </r>
  <r>
    <s v="ORD-0611"/>
    <x v="126"/>
    <s v="Danish Raza"/>
    <x v="1"/>
    <x v="4"/>
    <x v="0"/>
    <n v="3"/>
    <n v="4800"/>
    <n v="14400"/>
  </r>
  <r>
    <s v="ORD-0298"/>
    <x v="57"/>
    <s v="Hassan Shah"/>
    <x v="4"/>
    <x v="0"/>
    <x v="0"/>
    <n v="1"/>
    <n v="2700"/>
    <n v="2700"/>
  </r>
  <r>
    <s v="ORD-0415"/>
    <x v="8"/>
    <s v="Hamza Raza"/>
    <x v="4"/>
    <x v="5"/>
    <x v="1"/>
    <n v="6"/>
    <n v="58200"/>
    <n v="349200"/>
  </r>
  <r>
    <s v="ORD-0151"/>
    <x v="19"/>
    <s v="Sara Khan"/>
    <x v="5"/>
    <x v="3"/>
    <x v="1"/>
    <n v="5"/>
    <n v="86900"/>
    <n v="434500"/>
  </r>
  <r>
    <s v="ORD-0890"/>
    <x v="88"/>
    <s v="Sara Khan"/>
    <x v="0"/>
    <x v="6"/>
    <x v="0"/>
    <n v="4"/>
    <n v="6000"/>
    <n v="24000"/>
  </r>
  <r>
    <s v="ORD-0641"/>
    <x v="123"/>
    <s v="Ali Khan"/>
    <x v="0"/>
    <x v="0"/>
    <x v="0"/>
    <n v="4"/>
    <n v="2200"/>
    <n v="8800"/>
  </r>
  <r>
    <s v="ORD-0893"/>
    <x v="35"/>
    <s v="Fatima Ali"/>
    <x v="2"/>
    <x v="7"/>
    <x v="3"/>
    <n v="8"/>
    <n v="19600"/>
    <n v="156800"/>
  </r>
  <r>
    <s v="ORD-0551"/>
    <x v="125"/>
    <s v="Usman Malik"/>
    <x v="2"/>
    <x v="6"/>
    <x v="0"/>
    <n v="2"/>
    <n v="6100"/>
    <n v="12200"/>
  </r>
  <r>
    <s v="ORD-0833"/>
    <x v="120"/>
    <s v="Fatima Ali"/>
    <x v="1"/>
    <x v="7"/>
    <x v="3"/>
    <n v="8"/>
    <n v="19900"/>
    <n v="159200"/>
  </r>
  <r>
    <s v="ORD-0489"/>
    <x v="128"/>
    <s v="Saad Khan"/>
    <x v="3"/>
    <x v="8"/>
    <x v="0"/>
    <n v="6"/>
    <n v="7000"/>
    <n v="42000"/>
  </r>
  <r>
    <s v="ORD-0148"/>
    <x v="131"/>
    <s v="Sara Khan"/>
    <x v="3"/>
    <x v="5"/>
    <x v="1"/>
    <n v="5"/>
    <n v="55000"/>
    <n v="275000"/>
  </r>
  <r>
    <s v="ORD-0147"/>
    <x v="148"/>
    <s v="Saad Khan"/>
    <x v="4"/>
    <x v="9"/>
    <x v="3"/>
    <n v="5"/>
    <n v="29500"/>
    <n v="147500"/>
  </r>
  <r>
    <s v="ORD-0724"/>
    <x v="58"/>
    <s v="Fatima Ali"/>
    <x v="5"/>
    <x v="3"/>
    <x v="1"/>
    <n v="2"/>
    <n v="82500"/>
    <n v="165000"/>
  </r>
  <r>
    <s v="ORD-0935"/>
    <x v="67"/>
    <s v="Zain Ahmed"/>
    <x v="4"/>
    <x v="5"/>
    <x v="1"/>
    <n v="8"/>
    <n v="55400"/>
    <n v="443200"/>
  </r>
  <r>
    <s v="ORD-0825"/>
    <x v="60"/>
    <s v="Ayesha Noor"/>
    <x v="4"/>
    <x v="5"/>
    <x v="1"/>
    <n v="4"/>
    <n v="62200"/>
    <n v="248800"/>
  </r>
  <r>
    <s v="ORD-0660"/>
    <x v="4"/>
    <s v="Hassan Shah"/>
    <x v="2"/>
    <x v="4"/>
    <x v="0"/>
    <n v="8"/>
    <n v="4600"/>
    <n v="36800"/>
  </r>
  <r>
    <s v="ORD-0349"/>
    <x v="110"/>
    <s v="Zain Ahmed"/>
    <x v="5"/>
    <x v="2"/>
    <x v="2"/>
    <n v="6"/>
    <n v="30100"/>
    <n v="180600"/>
  </r>
  <r>
    <s v="ORD-0464"/>
    <x v="118"/>
    <s v="Hamza Raza"/>
    <x v="4"/>
    <x v="7"/>
    <x v="3"/>
    <n v="3"/>
    <n v="23200"/>
    <n v="69600"/>
  </r>
  <r>
    <s v="ORD-0326"/>
    <x v="154"/>
    <s v="Saad Khan"/>
    <x v="2"/>
    <x v="4"/>
    <x v="0"/>
    <n v="5"/>
    <n v="4000"/>
    <n v="20000"/>
  </r>
  <r>
    <s v="ORD-0187"/>
    <x v="17"/>
    <s v="Ayesha Noor"/>
    <x v="4"/>
    <x v="6"/>
    <x v="0"/>
    <n v="5"/>
    <n v="5600"/>
    <n v="28000"/>
  </r>
  <r>
    <s v="ORD-0124"/>
    <x v="106"/>
    <s v="Bilal Ahmed"/>
    <x v="2"/>
    <x v="8"/>
    <x v="0"/>
    <n v="8"/>
    <n v="8700"/>
    <n v="69600"/>
  </r>
  <r>
    <s v="ORD-0892"/>
    <x v="148"/>
    <s v="Fatima Ali"/>
    <x v="4"/>
    <x v="2"/>
    <x v="2"/>
    <n v="6"/>
    <n v="31100"/>
    <n v="186600"/>
  </r>
  <r>
    <s v="ORD-0609"/>
    <x v="77"/>
    <s v="Hassan Shah"/>
    <x v="3"/>
    <x v="4"/>
    <x v="0"/>
    <n v="3"/>
    <n v="4900"/>
    <n v="14700"/>
  </r>
  <r>
    <s v="ORD-0144"/>
    <x v="1"/>
    <s v="Zain Ahmed"/>
    <x v="0"/>
    <x v="0"/>
    <x v="0"/>
    <n v="5"/>
    <n v="2700"/>
    <n v="13500"/>
  </r>
  <r>
    <s v="ORD-0962"/>
    <x v="132"/>
    <s v="Saad Khan"/>
    <x v="3"/>
    <x v="4"/>
    <x v="0"/>
    <n v="6"/>
    <n v="3900"/>
    <n v="23400"/>
  </r>
  <r>
    <s v="ORD-0198"/>
    <x v="120"/>
    <s v="Hassan Shah"/>
    <x v="5"/>
    <x v="0"/>
    <x v="0"/>
    <n v="8"/>
    <n v="2100"/>
    <n v="16800"/>
  </r>
  <r>
    <s v="ORD-0610"/>
    <x v="42"/>
    <s v="Bilal Ahmed"/>
    <x v="4"/>
    <x v="2"/>
    <x v="2"/>
    <n v="7"/>
    <n v="28700"/>
    <n v="200900"/>
  </r>
  <r>
    <s v="ORD-0280"/>
    <x v="106"/>
    <s v="Usman Malik"/>
    <x v="1"/>
    <x v="7"/>
    <x v="3"/>
    <n v="3"/>
    <n v="24200"/>
    <n v="72600"/>
  </r>
  <r>
    <s v="ORD-0294"/>
    <x v="1"/>
    <s v="Ali Khan"/>
    <x v="5"/>
    <x v="2"/>
    <x v="2"/>
    <n v="4"/>
    <n v="30000"/>
    <n v="120000"/>
  </r>
  <r>
    <s v="ORD-0401"/>
    <x v="10"/>
    <s v="Danish Raza"/>
    <x v="0"/>
    <x v="6"/>
    <x v="0"/>
    <n v="7"/>
    <n v="5900"/>
    <n v="41300"/>
  </r>
  <r>
    <s v="ORD-0123"/>
    <x v="72"/>
    <s v="Saad Khan"/>
    <x v="1"/>
    <x v="0"/>
    <x v="0"/>
    <n v="7"/>
    <n v="2500"/>
    <n v="17500"/>
  </r>
  <r>
    <s v="ORD-0184"/>
    <x v="59"/>
    <s v="Bilal Ahmed"/>
    <x v="0"/>
    <x v="1"/>
    <x v="1"/>
    <n v="8"/>
    <n v="39700"/>
    <n v="317600"/>
  </r>
  <r>
    <s v="ORD-0203"/>
    <x v="53"/>
    <s v="Ali Khan"/>
    <x v="1"/>
    <x v="9"/>
    <x v="3"/>
    <n v="3"/>
    <n v="33500"/>
    <n v="100500"/>
  </r>
  <r>
    <s v="ORD-0439"/>
    <x v="35"/>
    <s v="Danish Raza"/>
    <x v="1"/>
    <x v="7"/>
    <x v="3"/>
    <n v="5"/>
    <n v="18800"/>
    <n v="94000"/>
  </r>
  <r>
    <s v="ORD-0247"/>
    <x v="147"/>
    <s v="Ali Khan"/>
    <x v="1"/>
    <x v="4"/>
    <x v="0"/>
    <n v="8"/>
    <n v="4900"/>
    <n v="39200"/>
  </r>
  <r>
    <s v="ORD-0416"/>
    <x v="20"/>
    <s v="Usman Malik"/>
    <x v="2"/>
    <x v="5"/>
    <x v="1"/>
    <n v="3"/>
    <n v="59200"/>
    <n v="177600"/>
  </r>
  <r>
    <s v="ORD-0855"/>
    <x v="36"/>
    <s v="Usman Malik"/>
    <x v="4"/>
    <x v="7"/>
    <x v="3"/>
    <n v="1"/>
    <n v="23300"/>
    <n v="23300"/>
  </r>
  <r>
    <s v="ORD-0878"/>
    <x v="4"/>
    <s v="Danish Raza"/>
    <x v="5"/>
    <x v="2"/>
    <x v="2"/>
    <n v="1"/>
    <n v="27300"/>
    <n v="27300"/>
  </r>
  <r>
    <s v="ORD-0910"/>
    <x v="33"/>
    <s v="Ahmed Ali"/>
    <x v="4"/>
    <x v="3"/>
    <x v="1"/>
    <n v="6"/>
    <n v="74300"/>
    <n v="445800"/>
  </r>
  <r>
    <s v="ORD-0915"/>
    <x v="26"/>
    <s v="Bilal Ahmed"/>
    <x v="2"/>
    <x v="3"/>
    <x v="1"/>
    <n v="2"/>
    <n v="78700"/>
    <n v="157400"/>
  </r>
  <r>
    <s v="ORD-0891"/>
    <x v="118"/>
    <s v="Ahmed Ali"/>
    <x v="3"/>
    <x v="4"/>
    <x v="0"/>
    <n v="3"/>
    <n v="4500"/>
    <n v="13500"/>
  </r>
  <r>
    <s v="ORD-0130"/>
    <x v="2"/>
    <s v="Bilal Ahmed"/>
    <x v="2"/>
    <x v="7"/>
    <x v="3"/>
    <n v="5"/>
    <n v="25200"/>
    <n v="126000"/>
  </r>
  <r>
    <s v="ORD-0638"/>
    <x v="135"/>
    <s v="Sara Khan"/>
    <x v="4"/>
    <x v="7"/>
    <x v="3"/>
    <n v="8"/>
    <n v="22500"/>
    <n v="180000"/>
  </r>
  <r>
    <s v="ORD-0403"/>
    <x v="70"/>
    <s v="Fatima Ali"/>
    <x v="2"/>
    <x v="5"/>
    <x v="1"/>
    <n v="2"/>
    <n v="58000"/>
    <n v="116000"/>
  </r>
  <r>
    <s v="ORD-0788"/>
    <x v="17"/>
    <s v="Bilal Ahmed"/>
    <x v="0"/>
    <x v="8"/>
    <x v="0"/>
    <n v="8"/>
    <n v="7600"/>
    <n v="60800"/>
  </r>
  <r>
    <s v="ORD-0774"/>
    <x v="167"/>
    <s v="Danish Raza"/>
    <x v="3"/>
    <x v="5"/>
    <x v="1"/>
    <n v="7"/>
    <n v="52000"/>
    <n v="364000"/>
  </r>
  <r>
    <s v="ORD-0736"/>
    <x v="60"/>
    <s v="Fatima Ali"/>
    <x v="2"/>
    <x v="3"/>
    <x v="1"/>
    <n v="7"/>
    <n v="93600"/>
    <n v="655200"/>
  </r>
  <r>
    <s v="ORD-0917"/>
    <x v="93"/>
    <s v="Zain Ahmed"/>
    <x v="3"/>
    <x v="5"/>
    <x v="1"/>
    <n v="6"/>
    <n v="47000"/>
    <n v="282000"/>
  </r>
  <r>
    <s v="ORD-0220"/>
    <x v="67"/>
    <s v="Ali Khan"/>
    <x v="0"/>
    <x v="8"/>
    <x v="0"/>
    <n v="7"/>
    <n v="7000"/>
    <n v="49000"/>
  </r>
  <r>
    <s v="ORD-0642"/>
    <x v="1"/>
    <s v="Hamza Raza"/>
    <x v="5"/>
    <x v="5"/>
    <x v="1"/>
    <n v="4"/>
    <n v="63200"/>
    <n v="252800"/>
  </r>
  <r>
    <s v="ORD-0919"/>
    <x v="160"/>
    <s v="Usman Malik"/>
    <x v="2"/>
    <x v="8"/>
    <x v="0"/>
    <n v="3"/>
    <n v="7700"/>
    <n v="23100"/>
  </r>
  <r>
    <s v="ORD-0756"/>
    <x v="9"/>
    <s v="Fatima Ali"/>
    <x v="4"/>
    <x v="1"/>
    <x v="1"/>
    <n v="7"/>
    <n v="30200"/>
    <n v="211400"/>
  </r>
  <r>
    <s v="ORD-0810"/>
    <x v="30"/>
    <s v="Saad Khan"/>
    <x v="3"/>
    <x v="1"/>
    <x v="1"/>
    <n v="4"/>
    <n v="34100"/>
    <n v="136400"/>
  </r>
  <r>
    <s v="ORD-0923"/>
    <x v="140"/>
    <s v="Hassan Shah"/>
    <x v="0"/>
    <x v="8"/>
    <x v="0"/>
    <n v="4"/>
    <n v="6900"/>
    <n v="27600"/>
  </r>
  <r>
    <s v="ORD-0625"/>
    <x v="104"/>
    <s v="Danish Raza"/>
    <x v="2"/>
    <x v="2"/>
    <x v="2"/>
    <n v="8"/>
    <n v="29700"/>
    <n v="237600"/>
  </r>
  <r>
    <s v="ORD-0842"/>
    <x v="17"/>
    <s v="Fatima Ali"/>
    <x v="4"/>
    <x v="8"/>
    <x v="0"/>
    <n v="1"/>
    <n v="7300"/>
    <n v="7300"/>
  </r>
  <r>
    <s v="ORD-0888"/>
    <x v="117"/>
    <s v="Fatima Ali"/>
    <x v="3"/>
    <x v="7"/>
    <x v="3"/>
    <n v="1"/>
    <n v="18900"/>
    <n v="18900"/>
  </r>
  <r>
    <s v="ORD-0387"/>
    <x v="147"/>
    <s v="Saad Khan"/>
    <x v="2"/>
    <x v="9"/>
    <x v="3"/>
    <n v="1"/>
    <n v="27900"/>
    <n v="27900"/>
  </r>
  <r>
    <s v="ORD-0976"/>
    <x v="172"/>
    <s v="Bilal Ahmed"/>
    <x v="2"/>
    <x v="9"/>
    <x v="3"/>
    <n v="1"/>
    <n v="27800"/>
    <n v="27800"/>
  </r>
  <r>
    <s v="ORD-0510"/>
    <x v="161"/>
    <s v="Fatima Ali"/>
    <x v="2"/>
    <x v="7"/>
    <x v="3"/>
    <n v="1"/>
    <n v="23700"/>
    <n v="23700"/>
  </r>
  <r>
    <s v="ORD-0268"/>
    <x v="123"/>
    <s v="Fatima Ali"/>
    <x v="4"/>
    <x v="4"/>
    <x v="0"/>
    <n v="2"/>
    <n v="4700"/>
    <n v="9400"/>
  </r>
  <r>
    <s v="ORD-0823"/>
    <x v="85"/>
    <s v="Danish Raza"/>
    <x v="1"/>
    <x v="7"/>
    <x v="3"/>
    <n v="1"/>
    <n v="24600"/>
    <n v="24600"/>
  </r>
  <r>
    <s v="ORD-0442"/>
    <x v="158"/>
    <s v="Saad Khan"/>
    <x v="2"/>
    <x v="2"/>
    <x v="2"/>
    <n v="7"/>
    <n v="27700"/>
    <n v="193900"/>
  </r>
  <r>
    <s v="ORD-0497"/>
    <x v="181"/>
    <s v="Ayesha Noor"/>
    <x v="5"/>
    <x v="7"/>
    <x v="3"/>
    <n v="6"/>
    <n v="22600"/>
    <n v="135600"/>
  </r>
  <r>
    <s v="ORD-0113"/>
    <x v="74"/>
    <s v="Danish Raza"/>
    <x v="5"/>
    <x v="0"/>
    <x v="0"/>
    <n v="2"/>
    <n v="2600"/>
    <n v="5200"/>
  </r>
  <r>
    <s v="ORD-0692"/>
    <x v="98"/>
    <s v="Ayesha Noor"/>
    <x v="3"/>
    <x v="8"/>
    <x v="0"/>
    <n v="6"/>
    <n v="8600"/>
    <n v="51600"/>
  </r>
  <r>
    <s v="ORD-0233"/>
    <x v="38"/>
    <s v="Ali Khan"/>
    <x v="0"/>
    <x v="1"/>
    <x v="1"/>
    <n v="3"/>
    <n v="37500"/>
    <n v="112500"/>
  </r>
  <r>
    <s v="ORD-0873"/>
    <x v="121"/>
    <s v="Ayesha Noor"/>
    <x v="1"/>
    <x v="4"/>
    <x v="0"/>
    <n v="8"/>
    <n v="4900"/>
    <n v="39200"/>
  </r>
  <r>
    <s v="ORD-0608"/>
    <x v="154"/>
    <s v="Ahmed Ali"/>
    <x v="3"/>
    <x v="2"/>
    <x v="2"/>
    <n v="3"/>
    <n v="31500"/>
    <n v="94500"/>
  </r>
  <r>
    <s v="ORD-0672"/>
    <x v="130"/>
    <s v="Danish Raza"/>
    <x v="1"/>
    <x v="5"/>
    <x v="1"/>
    <n v="6"/>
    <n v="58000"/>
    <n v="348000"/>
  </r>
  <r>
    <s v="ORD-0374"/>
    <x v="20"/>
    <s v="Sara Khan"/>
    <x v="0"/>
    <x v="4"/>
    <x v="0"/>
    <n v="7"/>
    <n v="4700"/>
    <n v="32900"/>
  </r>
  <r>
    <s v="ORD-0985"/>
    <x v="38"/>
    <s v="Fatima Ali"/>
    <x v="4"/>
    <x v="3"/>
    <x v="1"/>
    <n v="5"/>
    <n v="94700"/>
    <n v="473500"/>
  </r>
  <r>
    <s v="ORD-0846"/>
    <x v="56"/>
    <s v="Ahmed Ali"/>
    <x v="0"/>
    <x v="5"/>
    <x v="1"/>
    <n v="7"/>
    <n v="56400"/>
    <n v="394800"/>
  </r>
  <r>
    <s v="ORD-0234"/>
    <x v="76"/>
    <s v="Hassan Shah"/>
    <x v="2"/>
    <x v="7"/>
    <x v="3"/>
    <n v="4"/>
    <n v="21200"/>
    <n v="84800"/>
  </r>
  <r>
    <s v="ORD-0789"/>
    <x v="63"/>
    <s v="Hassan Shah"/>
    <x v="1"/>
    <x v="9"/>
    <x v="3"/>
    <n v="3"/>
    <n v="30600"/>
    <n v="91800"/>
  </r>
  <r>
    <s v="ORD-0677"/>
    <x v="47"/>
    <s v="Danish Raza"/>
    <x v="3"/>
    <x v="7"/>
    <x v="3"/>
    <n v="3"/>
    <n v="24900"/>
    <n v="74700"/>
  </r>
  <r>
    <s v="ORD-0318"/>
    <x v="55"/>
    <s v="Saad Khan"/>
    <x v="0"/>
    <x v="1"/>
    <x v="1"/>
    <n v="5"/>
    <n v="39100"/>
    <n v="195500"/>
  </r>
  <r>
    <s v="ORD-0649"/>
    <x v="30"/>
    <s v="Saad Khan"/>
    <x v="2"/>
    <x v="9"/>
    <x v="3"/>
    <n v="7"/>
    <n v="25800"/>
    <n v="180600"/>
  </r>
  <r>
    <s v="ORD-0411"/>
    <x v="31"/>
    <s v="Hassan Shah"/>
    <x v="5"/>
    <x v="4"/>
    <x v="0"/>
    <n v="5"/>
    <n v="4100"/>
    <n v="20500"/>
  </r>
  <r>
    <s v="ORD-0902"/>
    <x v="1"/>
    <s v="Usman Malik"/>
    <x v="5"/>
    <x v="0"/>
    <x v="0"/>
    <n v="5"/>
    <n v="2200"/>
    <n v="11000"/>
  </r>
  <r>
    <s v="ORD-0710"/>
    <x v="76"/>
    <s v="Bilal Ahmed"/>
    <x v="1"/>
    <x v="4"/>
    <x v="0"/>
    <n v="2"/>
    <n v="4400"/>
    <n v="8800"/>
  </r>
  <r>
    <s v="ORD-0359"/>
    <x v="161"/>
    <s v="Hassan Shah"/>
    <x v="1"/>
    <x v="9"/>
    <x v="3"/>
    <n v="2"/>
    <n v="27200"/>
    <n v="54400"/>
  </r>
  <r>
    <s v="ORD-0259"/>
    <x v="20"/>
    <s v="Fatima Ali"/>
    <x v="2"/>
    <x v="8"/>
    <x v="0"/>
    <n v="4"/>
    <n v="7600"/>
    <n v="30400"/>
  </r>
  <r>
    <s v="ORD-0745"/>
    <x v="123"/>
    <s v="Ahmed Ali"/>
    <x v="5"/>
    <x v="5"/>
    <x v="1"/>
    <n v="5"/>
    <n v="61200"/>
    <n v="306000"/>
  </r>
  <r>
    <s v="ORD-0628"/>
    <x v="101"/>
    <s v="Ayesha Noor"/>
    <x v="5"/>
    <x v="6"/>
    <x v="0"/>
    <n v="5"/>
    <n v="6000"/>
    <n v="30000"/>
  </r>
  <r>
    <s v="ORD-0633"/>
    <x v="16"/>
    <s v="Ayesha Noor"/>
    <x v="2"/>
    <x v="8"/>
    <x v="0"/>
    <n v="5"/>
    <n v="7000"/>
    <n v="35000"/>
  </r>
  <r>
    <s v="ORD-0283"/>
    <x v="82"/>
    <s v="Hassan Shah"/>
    <x v="2"/>
    <x v="2"/>
    <x v="2"/>
    <n v="2"/>
    <n v="30800"/>
    <n v="61600"/>
  </r>
  <r>
    <s v="ORD-0377"/>
    <x v="117"/>
    <s v="Sara Khan"/>
    <x v="2"/>
    <x v="4"/>
    <x v="0"/>
    <n v="1"/>
    <n v="5200"/>
    <n v="5200"/>
  </r>
  <r>
    <s v="ORD-0385"/>
    <x v="28"/>
    <s v="Ahmed Ali"/>
    <x v="4"/>
    <x v="4"/>
    <x v="0"/>
    <n v="8"/>
    <n v="4300"/>
    <n v="34400"/>
  </r>
  <r>
    <s v="ORD-0225"/>
    <x v="59"/>
    <s v="Fatima Ali"/>
    <x v="5"/>
    <x v="2"/>
    <x v="2"/>
    <n v="3"/>
    <n v="28500"/>
    <n v="85500"/>
  </r>
  <r>
    <s v="ORD-0957"/>
    <x v="146"/>
    <s v="Usman Malik"/>
    <x v="0"/>
    <x v="5"/>
    <x v="1"/>
    <n v="7"/>
    <n v="62100"/>
    <n v="434700"/>
  </r>
  <r>
    <s v="ORD-0818"/>
    <x v="86"/>
    <s v="Hassan Shah"/>
    <x v="1"/>
    <x v="7"/>
    <x v="3"/>
    <n v="5"/>
    <n v="19800"/>
    <n v="99000"/>
  </r>
  <r>
    <s v="ORD-0473"/>
    <x v="16"/>
    <s v="Hamza Raza"/>
    <x v="0"/>
    <x v="1"/>
    <x v="1"/>
    <n v="4"/>
    <n v="36000"/>
    <n v="144000"/>
  </r>
  <r>
    <s v="ORD-0348"/>
    <x v="79"/>
    <s v="Ayesha Noor"/>
    <x v="4"/>
    <x v="9"/>
    <x v="3"/>
    <n v="2"/>
    <n v="26700"/>
    <n v="53400"/>
  </r>
  <r>
    <s v="ORD-0506"/>
    <x v="103"/>
    <s v="Sara Khan"/>
    <x v="2"/>
    <x v="5"/>
    <x v="1"/>
    <n v="8"/>
    <n v="53600"/>
    <n v="428800"/>
  </r>
  <r>
    <s v="ORD-0640"/>
    <x v="12"/>
    <s v="Hamza Raza"/>
    <x v="2"/>
    <x v="7"/>
    <x v="3"/>
    <n v="3"/>
    <n v="19500"/>
    <n v="58500"/>
  </r>
  <r>
    <s v="ORD-0991"/>
    <x v="33"/>
    <s v="Danish Raza"/>
    <x v="5"/>
    <x v="7"/>
    <x v="3"/>
    <n v="3"/>
    <n v="21500"/>
    <n v="64500"/>
  </r>
  <r>
    <s v="ORD-0932"/>
    <x v="94"/>
    <s v="Ali Khan"/>
    <x v="5"/>
    <x v="2"/>
    <x v="2"/>
    <n v="7"/>
    <n v="29200"/>
    <n v="204400"/>
  </r>
  <r>
    <s v="ORD-0909"/>
    <x v="22"/>
    <s v="Hassan Shah"/>
    <x v="1"/>
    <x v="5"/>
    <x v="1"/>
    <n v="5"/>
    <n v="59700"/>
    <n v="298500"/>
  </r>
  <r>
    <s v="ORD-0620"/>
    <x v="139"/>
    <s v="Hamza Raza"/>
    <x v="1"/>
    <x v="3"/>
    <x v="1"/>
    <n v="7"/>
    <n v="83400"/>
    <n v="583800"/>
  </r>
  <r>
    <s v="ORD-0859"/>
    <x v="6"/>
    <s v="Usman Malik"/>
    <x v="5"/>
    <x v="0"/>
    <x v="0"/>
    <n v="5"/>
    <n v="2300"/>
    <n v="11500"/>
  </r>
  <r>
    <s v="ORD-0807"/>
    <x v="60"/>
    <s v="Zain Ahmed"/>
    <x v="3"/>
    <x v="2"/>
    <x v="2"/>
    <n v="6"/>
    <n v="27900"/>
    <n v="167400"/>
  </r>
  <r>
    <s v="ORD-0646"/>
    <x v="15"/>
    <s v="Ali Khan"/>
    <x v="4"/>
    <x v="9"/>
    <x v="3"/>
    <n v="2"/>
    <n v="33800"/>
    <n v="67600"/>
  </r>
  <r>
    <s v="ORD-0850"/>
    <x v="34"/>
    <s v="Ali Khan"/>
    <x v="5"/>
    <x v="7"/>
    <x v="3"/>
    <n v="2"/>
    <n v="22000"/>
    <n v="44000"/>
  </r>
  <r>
    <s v="ORD-0557"/>
    <x v="90"/>
    <s v="Saad Khan"/>
    <x v="3"/>
    <x v="6"/>
    <x v="0"/>
    <n v="3"/>
    <n v="6300"/>
    <n v="18900"/>
  </r>
  <r>
    <s v="ORD-0961"/>
    <x v="5"/>
    <s v="Ayesha Noor"/>
    <x v="2"/>
    <x v="8"/>
    <x v="0"/>
    <n v="2"/>
    <n v="7300"/>
    <n v="14600"/>
  </r>
  <r>
    <s v="ORD-0578"/>
    <x v="43"/>
    <s v="Ali Khan"/>
    <x v="2"/>
    <x v="2"/>
    <x v="2"/>
    <n v="6"/>
    <n v="27600"/>
    <n v="165600"/>
  </r>
  <r>
    <s v="ORD-0796"/>
    <x v="40"/>
    <s v="Ahmed Ali"/>
    <x v="5"/>
    <x v="9"/>
    <x v="3"/>
    <n v="7"/>
    <n v="32400"/>
    <n v="226800"/>
  </r>
  <r>
    <s v="ORD-0086"/>
    <x v="128"/>
    <s v="Usman Malik"/>
    <x v="1"/>
    <x v="0"/>
    <x v="0"/>
    <n v="4"/>
    <n v="2200"/>
    <n v="8800"/>
  </r>
  <r>
    <s v="ORD-0243"/>
    <x v="50"/>
    <s v="Usman Malik"/>
    <x v="5"/>
    <x v="4"/>
    <x v="0"/>
    <n v="3"/>
    <n v="4300"/>
    <n v="12900"/>
  </r>
  <r>
    <s v="ORD-0699"/>
    <x v="145"/>
    <s v="Fatima Ali"/>
    <x v="0"/>
    <x v="6"/>
    <x v="0"/>
    <n v="3"/>
    <n v="6300"/>
    <n v="18900"/>
  </r>
  <r>
    <s v="ORD-0160"/>
    <x v="170"/>
    <s v="Fatima Ali"/>
    <x v="3"/>
    <x v="3"/>
    <x v="1"/>
    <n v="4"/>
    <n v="90300"/>
    <n v="361200"/>
  </r>
  <r>
    <s v="ORD-0525"/>
    <x v="166"/>
    <s v="Hassan Shah"/>
    <x v="0"/>
    <x v="9"/>
    <x v="3"/>
    <n v="3"/>
    <n v="30600"/>
    <n v="91800"/>
  </r>
  <r>
    <s v="ORD-0036"/>
    <x v="20"/>
    <s v="Ayesha Noor"/>
    <x v="2"/>
    <x v="9"/>
    <x v="3"/>
    <n v="8"/>
    <n v="27700"/>
    <n v="221600"/>
  </r>
  <r>
    <s v="ORD-0541"/>
    <x v="171"/>
    <s v="Saad Khan"/>
    <x v="5"/>
    <x v="1"/>
    <x v="1"/>
    <n v="4"/>
    <n v="35600"/>
    <n v="142400"/>
  </r>
  <r>
    <s v="ORD-0171"/>
    <x v="152"/>
    <s v="Hassan Shah"/>
    <x v="3"/>
    <x v="8"/>
    <x v="0"/>
    <n v="1"/>
    <n v="7100"/>
    <n v="7100"/>
  </r>
  <r>
    <s v="ORD-0655"/>
    <x v="77"/>
    <s v="Zain Ahmed"/>
    <x v="3"/>
    <x v="6"/>
    <x v="0"/>
    <n v="7"/>
    <n v="5800"/>
    <n v="40600"/>
  </r>
  <r>
    <s v="ORD-0894"/>
    <x v="13"/>
    <s v="Zain Ahmed"/>
    <x v="1"/>
    <x v="9"/>
    <x v="3"/>
    <n v="8"/>
    <n v="31200"/>
    <n v="249600"/>
  </r>
  <r>
    <s v="ORD-0851"/>
    <x v="140"/>
    <s v="Zain Ahmed"/>
    <x v="1"/>
    <x v="6"/>
    <x v="0"/>
    <n v="5"/>
    <n v="6900"/>
    <n v="34500"/>
  </r>
  <r>
    <s v="ORD-0948"/>
    <x v="3"/>
    <s v="Ahmed Ali"/>
    <x v="5"/>
    <x v="3"/>
    <x v="1"/>
    <n v="1"/>
    <n v="97300"/>
    <n v="97300"/>
  </r>
  <r>
    <s v="ORD-0734"/>
    <x v="52"/>
    <s v="Sara Khan"/>
    <x v="0"/>
    <x v="9"/>
    <x v="3"/>
    <n v="2"/>
    <n v="32400"/>
    <n v="64800"/>
  </r>
  <r>
    <s v="ORD-0096"/>
    <x v="112"/>
    <s v="Hamza Raza"/>
    <x v="0"/>
    <x v="4"/>
    <x v="0"/>
    <n v="3"/>
    <n v="4100"/>
    <n v="12300"/>
  </r>
  <r>
    <s v="ORD-0564"/>
    <x v="132"/>
    <s v="Hassan Shah"/>
    <x v="3"/>
    <x v="2"/>
    <x v="2"/>
    <n v="5"/>
    <n v="30700"/>
    <n v="153500"/>
  </r>
  <r>
    <s v="ORD-0241"/>
    <x v="40"/>
    <s v="Hamza Raza"/>
    <x v="4"/>
    <x v="3"/>
    <x v="1"/>
    <n v="4"/>
    <n v="79900"/>
    <n v="319600"/>
  </r>
  <r>
    <s v="ORD-0743"/>
    <x v="112"/>
    <s v="Danish Raza"/>
    <x v="4"/>
    <x v="4"/>
    <x v="0"/>
    <n v="3"/>
    <n v="4500"/>
    <n v="13500"/>
  </r>
  <r>
    <s v="ORD-0575"/>
    <x v="134"/>
    <s v="Ali Khan"/>
    <x v="5"/>
    <x v="7"/>
    <x v="3"/>
    <n v="3"/>
    <n v="22900"/>
    <n v="68700"/>
  </r>
  <r>
    <s v="ORD-0691"/>
    <x v="86"/>
    <s v="Hamza Raza"/>
    <x v="4"/>
    <x v="8"/>
    <x v="0"/>
    <n v="6"/>
    <n v="7800"/>
    <n v="46800"/>
  </r>
  <r>
    <s v="ORD-0461"/>
    <x v="80"/>
    <s v="Ali Khan"/>
    <x v="5"/>
    <x v="1"/>
    <x v="1"/>
    <n v="1"/>
    <n v="30700"/>
    <n v="30700"/>
  </r>
  <r>
    <s v="ORD-0554"/>
    <x v="181"/>
    <s v="Zain Ahmed"/>
    <x v="3"/>
    <x v="1"/>
    <x v="1"/>
    <n v="7"/>
    <n v="31000"/>
    <n v="217000"/>
  </r>
  <r>
    <s v="ORD-0882"/>
    <x v="132"/>
    <s v="Ayesha Noor"/>
    <x v="3"/>
    <x v="2"/>
    <x v="2"/>
    <n v="7"/>
    <n v="29100"/>
    <n v="203700"/>
  </r>
  <r>
    <s v="ORD-0207"/>
    <x v="143"/>
    <s v="Danish Raza"/>
    <x v="5"/>
    <x v="8"/>
    <x v="0"/>
    <n v="2"/>
    <n v="8400"/>
    <n v="16800"/>
  </r>
  <r>
    <s v="ORD-0393"/>
    <x v="15"/>
    <s v="Ali Khan"/>
    <x v="3"/>
    <x v="8"/>
    <x v="0"/>
    <n v="6"/>
    <n v="7000"/>
    <n v="42000"/>
  </r>
  <r>
    <s v="ORD-0795"/>
    <x v="61"/>
    <s v="Ahmed Ali"/>
    <x v="5"/>
    <x v="1"/>
    <x v="1"/>
    <n v="1"/>
    <n v="38700"/>
    <n v="38700"/>
  </r>
  <r>
    <s v="ORD-0398"/>
    <x v="149"/>
    <s v="Saad Khan"/>
    <x v="2"/>
    <x v="6"/>
    <x v="0"/>
    <n v="1"/>
    <n v="6300"/>
    <n v="6300"/>
  </r>
  <r>
    <s v="ORD-0767"/>
    <x v="41"/>
    <s v="Danish Raza"/>
    <x v="2"/>
    <x v="2"/>
    <x v="2"/>
    <n v="8"/>
    <n v="27900"/>
    <n v="223200"/>
  </r>
  <r>
    <s v="ORD-0852"/>
    <x v="37"/>
    <s v="Danish Raza"/>
    <x v="1"/>
    <x v="0"/>
    <x v="0"/>
    <n v="6"/>
    <n v="2800"/>
    <n v="16800"/>
  </r>
  <r>
    <s v="ORD-0218"/>
    <x v="33"/>
    <s v="Ali Khan"/>
    <x v="2"/>
    <x v="1"/>
    <x v="1"/>
    <n v="2"/>
    <n v="33100"/>
    <n v="66200"/>
  </r>
  <r>
    <s v="ORD-0005"/>
    <x v="156"/>
    <s v="Usman Malik"/>
    <x v="4"/>
    <x v="4"/>
    <x v="0"/>
    <n v="7"/>
    <n v="4300"/>
    <n v="30100"/>
  </r>
  <r>
    <s v="ORD-0769"/>
    <x v="61"/>
    <s v="Usman Malik"/>
    <x v="0"/>
    <x v="3"/>
    <x v="1"/>
    <n v="2"/>
    <n v="77600"/>
    <n v="155200"/>
  </r>
  <r>
    <s v="ORD-0643"/>
    <x v="78"/>
    <s v="Ali Khan"/>
    <x v="1"/>
    <x v="6"/>
    <x v="0"/>
    <n v="6"/>
    <n v="7300"/>
    <n v="43800"/>
  </r>
  <r>
    <s v="ORD-0901"/>
    <x v="84"/>
    <s v="Ayesha Noor"/>
    <x v="1"/>
    <x v="0"/>
    <x v="0"/>
    <n v="3"/>
    <n v="2700"/>
    <n v="8100"/>
  </r>
  <r>
    <s v="ORD-0613"/>
    <x v="19"/>
    <s v="Ayesha Noor"/>
    <x v="4"/>
    <x v="2"/>
    <x v="2"/>
    <n v="4"/>
    <n v="29400"/>
    <n v="117600"/>
  </r>
  <r>
    <s v="ORD-0739"/>
    <x v="34"/>
    <s v="Bilal Ahmed"/>
    <x v="1"/>
    <x v="0"/>
    <x v="0"/>
    <n v="5"/>
    <n v="2400"/>
    <n v="12000"/>
  </r>
  <r>
    <s v="ORD-0547"/>
    <x v="102"/>
    <s v="Ahmed Ali"/>
    <x v="5"/>
    <x v="7"/>
    <x v="3"/>
    <n v="3"/>
    <n v="23700"/>
    <n v="71100"/>
  </r>
  <r>
    <s v="ORD-0726"/>
    <x v="76"/>
    <s v="Hassan Shah"/>
    <x v="4"/>
    <x v="7"/>
    <x v="3"/>
    <n v="4"/>
    <n v="23000"/>
    <n v="92000"/>
  </r>
  <r>
    <s v="ORD-0684"/>
    <x v="179"/>
    <s v="Hamza Raza"/>
    <x v="5"/>
    <x v="3"/>
    <x v="1"/>
    <n v="1"/>
    <n v="83800"/>
    <n v="83800"/>
  </r>
  <r>
    <s v="ORD-0099"/>
    <x v="176"/>
    <s v="Bilal Ahmed"/>
    <x v="1"/>
    <x v="3"/>
    <x v="1"/>
    <n v="7"/>
    <n v="84400"/>
    <n v="590800"/>
  </r>
  <r>
    <s v="ORD-0805"/>
    <x v="140"/>
    <s v="Hassan Shah"/>
    <x v="5"/>
    <x v="6"/>
    <x v="0"/>
    <n v="3"/>
    <n v="6300"/>
    <n v="18900"/>
  </r>
  <r>
    <s v="ORD-0728"/>
    <x v="63"/>
    <s v="Saad Khan"/>
    <x v="1"/>
    <x v="9"/>
    <x v="3"/>
    <n v="8"/>
    <n v="31900"/>
    <n v="255200"/>
  </r>
  <r>
    <s v="ORD-0574"/>
    <x v="168"/>
    <s v="Zain Ahmed"/>
    <x v="3"/>
    <x v="2"/>
    <x v="2"/>
    <n v="8"/>
    <n v="32000"/>
    <n v="256000"/>
  </r>
  <r>
    <s v="ORD-0407"/>
    <x v="94"/>
    <s v="Ahmed Ali"/>
    <x v="0"/>
    <x v="2"/>
    <x v="2"/>
    <n v="3"/>
    <n v="26100"/>
    <n v="78300"/>
  </r>
  <r>
    <s v="ORD-0503"/>
    <x v="97"/>
    <s v="Hamza Raza"/>
    <x v="4"/>
    <x v="7"/>
    <x v="3"/>
    <n v="3"/>
    <n v="21900"/>
    <n v="65700"/>
  </r>
  <r>
    <s v="ORD-0048"/>
    <x v="135"/>
    <s v="Ayesha Noor"/>
    <x v="3"/>
    <x v="1"/>
    <x v="1"/>
    <n v="2"/>
    <n v="36800"/>
    <n v="73600"/>
  </r>
  <r>
    <s v="ORD-0033"/>
    <x v="108"/>
    <s v="Danish Raza"/>
    <x v="3"/>
    <x v="9"/>
    <x v="3"/>
    <n v="4"/>
    <n v="25600"/>
    <n v="102400"/>
  </r>
  <r>
    <s v="ORD-0780"/>
    <x v="84"/>
    <s v="Hassan Shah"/>
    <x v="3"/>
    <x v="4"/>
    <x v="0"/>
    <n v="5"/>
    <n v="4700"/>
    <n v="23500"/>
  </r>
  <r>
    <s v="ORD-0840"/>
    <x v="116"/>
    <s v="Bilal Ahmed"/>
    <x v="0"/>
    <x v="5"/>
    <x v="1"/>
    <n v="7"/>
    <n v="56900"/>
    <n v="398300"/>
  </r>
  <r>
    <s v="ORD-0201"/>
    <x v="144"/>
    <s v="Hamza Raza"/>
    <x v="1"/>
    <x v="1"/>
    <x v="1"/>
    <n v="2"/>
    <n v="32200"/>
    <n v="64400"/>
  </r>
  <r>
    <s v="ORD-0135"/>
    <x v="14"/>
    <s v="Sara Khan"/>
    <x v="3"/>
    <x v="8"/>
    <x v="0"/>
    <n v="2"/>
    <n v="8800"/>
    <n v="17600"/>
  </r>
  <r>
    <s v="ORD-0028"/>
    <x v="68"/>
    <s v="Hamza Raza"/>
    <x v="2"/>
    <x v="8"/>
    <x v="0"/>
    <n v="2"/>
    <n v="9100"/>
    <n v="18200"/>
  </r>
  <r>
    <s v="ORD-0884"/>
    <x v="117"/>
    <s v="Bilal Ahmed"/>
    <x v="1"/>
    <x v="6"/>
    <x v="0"/>
    <n v="5"/>
    <n v="6700"/>
    <n v="33500"/>
  </r>
  <r>
    <s v="ORD-0231"/>
    <x v="170"/>
    <s v="Hassan Shah"/>
    <x v="4"/>
    <x v="3"/>
    <x v="1"/>
    <n v="3"/>
    <n v="79200"/>
    <n v="237600"/>
  </r>
  <r>
    <s v="ORD-0490"/>
    <x v="85"/>
    <s v="Hamza Raza"/>
    <x v="0"/>
    <x v="3"/>
    <x v="1"/>
    <n v="6"/>
    <n v="88800"/>
    <n v="532800"/>
  </r>
  <r>
    <s v="ORD-0773"/>
    <x v="8"/>
    <s v="Ayesha Noor"/>
    <x v="1"/>
    <x v="9"/>
    <x v="3"/>
    <n v="4"/>
    <n v="33700"/>
    <n v="134800"/>
  </r>
  <r>
    <s v="ORD-0379"/>
    <x v="143"/>
    <s v="Fatima Ali"/>
    <x v="5"/>
    <x v="2"/>
    <x v="2"/>
    <n v="5"/>
    <n v="27600"/>
    <n v="138000"/>
  </r>
  <r>
    <s v="ORD-0289"/>
    <x v="5"/>
    <s v="Ayesha Noor"/>
    <x v="3"/>
    <x v="3"/>
    <x v="1"/>
    <n v="4"/>
    <n v="90600"/>
    <n v="362400"/>
  </r>
  <r>
    <s v="ORD-0419"/>
    <x v="106"/>
    <s v="Fatima Ali"/>
    <x v="0"/>
    <x v="1"/>
    <x v="1"/>
    <n v="8"/>
    <n v="38600"/>
    <n v="308800"/>
  </r>
  <r>
    <s v="ORD-0675"/>
    <x v="118"/>
    <s v="Danish Raza"/>
    <x v="5"/>
    <x v="8"/>
    <x v="0"/>
    <n v="6"/>
    <n v="8000"/>
    <n v="48000"/>
  </r>
  <r>
    <s v="ORD-0392"/>
    <x v="3"/>
    <s v="Ali Khan"/>
    <x v="5"/>
    <x v="0"/>
    <x v="0"/>
    <n v="4"/>
    <n v="2600"/>
    <n v="10400"/>
  </r>
  <r>
    <s v="ORD-0593"/>
    <x v="66"/>
    <s v="Usman Malik"/>
    <x v="0"/>
    <x v="4"/>
    <x v="0"/>
    <n v="1"/>
    <n v="4700"/>
    <n v="4700"/>
  </r>
  <r>
    <s v="ORD-0499"/>
    <x v="27"/>
    <s v="Ali Khan"/>
    <x v="2"/>
    <x v="6"/>
    <x v="0"/>
    <n v="2"/>
    <n v="6800"/>
    <n v="13600"/>
  </r>
  <r>
    <s v="ORD-0139"/>
    <x v="99"/>
    <s v="Ahmed Ali"/>
    <x v="5"/>
    <x v="6"/>
    <x v="0"/>
    <n v="7"/>
    <n v="6100"/>
    <n v="42700"/>
  </r>
  <r>
    <s v="ORD-0063"/>
    <x v="33"/>
    <s v="Ayesha Noor"/>
    <x v="2"/>
    <x v="3"/>
    <x v="1"/>
    <n v="6"/>
    <n v="87100"/>
    <n v="522600"/>
  </r>
  <r>
    <s v="ORD-0472"/>
    <x v="9"/>
    <s v="Ayesha Noor"/>
    <x v="4"/>
    <x v="8"/>
    <x v="0"/>
    <n v="4"/>
    <n v="7600"/>
    <n v="30400"/>
  </r>
  <r>
    <s v="ORD-0648"/>
    <x v="93"/>
    <s v="Ayesha Noor"/>
    <x v="2"/>
    <x v="8"/>
    <x v="0"/>
    <n v="8"/>
    <n v="6900"/>
    <n v="55200"/>
  </r>
  <r>
    <s v="ORD-0129"/>
    <x v="93"/>
    <s v="Saad Khan"/>
    <x v="5"/>
    <x v="0"/>
    <x v="0"/>
    <n v="4"/>
    <n v="2700"/>
    <n v="10800"/>
  </r>
  <r>
    <s v="ORD-0980"/>
    <x v="166"/>
    <s v="Zain Ahmed"/>
    <x v="5"/>
    <x v="5"/>
    <x v="1"/>
    <n v="2"/>
    <n v="61700"/>
    <n v="123400"/>
  </r>
  <r>
    <s v="ORD-0521"/>
    <x v="174"/>
    <s v="Sara Khan"/>
    <x v="1"/>
    <x v="7"/>
    <x v="3"/>
    <n v="5"/>
    <n v="23300"/>
    <n v="116500"/>
  </r>
  <r>
    <s v="ORD-0839"/>
    <x v="29"/>
    <s v="Ahmed Ali"/>
    <x v="0"/>
    <x v="6"/>
    <x v="0"/>
    <n v="4"/>
    <n v="6200"/>
    <n v="24800"/>
  </r>
  <r>
    <s v="ORD-0966"/>
    <x v="154"/>
    <s v="Danish Raza"/>
    <x v="5"/>
    <x v="1"/>
    <x v="1"/>
    <n v="5"/>
    <n v="37900"/>
    <n v="189500"/>
  </r>
  <r>
    <s v="ORD-0065"/>
    <x v="120"/>
    <s v="Ayesha Noor"/>
    <x v="5"/>
    <x v="0"/>
    <x v="0"/>
    <n v="2"/>
    <n v="2400"/>
    <n v="4800"/>
  </r>
  <r>
    <s v="ORD-0813"/>
    <x v="57"/>
    <s v="Zain Ahmed"/>
    <x v="2"/>
    <x v="4"/>
    <x v="0"/>
    <n v="3"/>
    <n v="4700"/>
    <n v="14100"/>
  </r>
  <r>
    <s v="ORD-0015"/>
    <x v="40"/>
    <s v="Zain Ahmed"/>
    <x v="0"/>
    <x v="2"/>
    <x v="2"/>
    <n v="7"/>
    <n v="26000"/>
    <n v="182000"/>
  </r>
  <r>
    <s v="ORD-0157"/>
    <x v="56"/>
    <s v="Hassan Shah"/>
    <x v="5"/>
    <x v="8"/>
    <x v="0"/>
    <n v="7"/>
    <n v="6900"/>
    <n v="48300"/>
  </r>
  <r>
    <s v="ORD-0041"/>
    <x v="115"/>
    <s v="Ali Khan"/>
    <x v="3"/>
    <x v="0"/>
    <x v="0"/>
    <n v="2"/>
    <n v="2500"/>
    <n v="5000"/>
  </r>
  <r>
    <s v="ORD-0493"/>
    <x v="66"/>
    <s v="Usman Malik"/>
    <x v="1"/>
    <x v="5"/>
    <x v="1"/>
    <n v="7"/>
    <n v="47200"/>
    <n v="330400"/>
  </r>
  <r>
    <s v="ORD-0380"/>
    <x v="148"/>
    <s v="Bilal Ahmed"/>
    <x v="2"/>
    <x v="8"/>
    <x v="0"/>
    <n v="3"/>
    <n v="8800"/>
    <n v="26400"/>
  </r>
  <r>
    <s v="ORD-0188"/>
    <x v="22"/>
    <s v="Bilal Ahmed"/>
    <x v="2"/>
    <x v="3"/>
    <x v="1"/>
    <n v="1"/>
    <n v="95500"/>
    <n v="95500"/>
  </r>
  <r>
    <s v="ORD-0764"/>
    <x v="151"/>
    <s v="Sara Khan"/>
    <x v="2"/>
    <x v="7"/>
    <x v="3"/>
    <n v="1"/>
    <n v="19500"/>
    <n v="19500"/>
  </r>
  <r>
    <s v="ORD-0217"/>
    <x v="91"/>
    <s v="Saad Khan"/>
    <x v="1"/>
    <x v="5"/>
    <x v="1"/>
    <n v="7"/>
    <n v="58100"/>
    <n v="406700"/>
  </r>
  <r>
    <s v="ORD-0792"/>
    <x v="62"/>
    <s v="Bilal Ahmed"/>
    <x v="1"/>
    <x v="2"/>
    <x v="2"/>
    <n v="8"/>
    <n v="27700"/>
    <n v="221600"/>
  </r>
  <r>
    <s v="ORD-0053"/>
    <x v="40"/>
    <s v="Fatima Ali"/>
    <x v="4"/>
    <x v="9"/>
    <x v="3"/>
    <n v="2"/>
    <n v="26200"/>
    <n v="52400"/>
  </r>
  <r>
    <s v="ORD-0879"/>
    <x v="88"/>
    <s v="Hassan Shah"/>
    <x v="4"/>
    <x v="0"/>
    <x v="0"/>
    <n v="3"/>
    <n v="2900"/>
    <n v="8700"/>
  </r>
  <r>
    <s v="ORD-0338"/>
    <x v="90"/>
    <s v="Sara Khan"/>
    <x v="2"/>
    <x v="2"/>
    <x v="2"/>
    <n v="4"/>
    <n v="27700"/>
    <n v="110800"/>
  </r>
  <r>
    <s v="ORD-0749"/>
    <x v="52"/>
    <s v="Ali Khan"/>
    <x v="5"/>
    <x v="7"/>
    <x v="3"/>
    <n v="1"/>
    <n v="21100"/>
    <n v="21100"/>
  </r>
  <r>
    <s v="ORD-0720"/>
    <x v="30"/>
    <s v="Bilal Ahmed"/>
    <x v="3"/>
    <x v="1"/>
    <x v="1"/>
    <n v="8"/>
    <n v="33100"/>
    <n v="264800"/>
  </r>
  <r>
    <s v="ORD-0725"/>
    <x v="99"/>
    <s v="Danish Raza"/>
    <x v="4"/>
    <x v="3"/>
    <x v="1"/>
    <n v="2"/>
    <n v="92400"/>
    <n v="184800"/>
  </r>
  <r>
    <s v="ORD-0296"/>
    <x v="92"/>
    <s v="Danish Raza"/>
    <x v="2"/>
    <x v="4"/>
    <x v="0"/>
    <n v="8"/>
    <n v="5100"/>
    <n v="40800"/>
  </r>
  <r>
    <s v="ORD-0702"/>
    <x v="115"/>
    <s v="Sara Khan"/>
    <x v="2"/>
    <x v="5"/>
    <x v="1"/>
    <n v="5"/>
    <n v="49400"/>
    <n v="247000"/>
  </r>
  <r>
    <s v="ORD-0252"/>
    <x v="53"/>
    <s v="Ali Khan"/>
    <x v="2"/>
    <x v="9"/>
    <x v="3"/>
    <n v="3"/>
    <n v="32300"/>
    <n v="96900"/>
  </r>
  <r>
    <s v="ORD-0727"/>
    <x v="30"/>
    <s v="Fatima Ali"/>
    <x v="5"/>
    <x v="3"/>
    <x v="1"/>
    <n v="4"/>
    <n v="93800"/>
    <n v="375200"/>
  </r>
  <r>
    <s v="ORD-0462"/>
    <x v="157"/>
    <s v="Bilal Ahmed"/>
    <x v="1"/>
    <x v="9"/>
    <x v="3"/>
    <n v="6"/>
    <n v="33300"/>
    <n v="199800"/>
  </r>
  <r>
    <s v="ORD-0456"/>
    <x v="102"/>
    <s v="Ali Khan"/>
    <x v="4"/>
    <x v="9"/>
    <x v="3"/>
    <n v="5"/>
    <n v="32700"/>
    <n v="163500"/>
  </r>
  <r>
    <s v="ORD-1000"/>
    <x v="8"/>
    <s v="Ahmed Ali"/>
    <x v="4"/>
    <x v="4"/>
    <x v="0"/>
    <n v="4"/>
    <n v="4100"/>
    <n v="16400"/>
  </r>
  <r>
    <s v="ORD-0816"/>
    <x v="122"/>
    <s v="Sara Khan"/>
    <x v="2"/>
    <x v="0"/>
    <x v="0"/>
    <n v="8"/>
    <n v="2600"/>
    <n v="20800"/>
  </r>
  <r>
    <s v="ORD-0863"/>
    <x v="31"/>
    <s v="Hamza Raza"/>
    <x v="3"/>
    <x v="4"/>
    <x v="0"/>
    <n v="5"/>
    <n v="4400"/>
    <n v="22000"/>
  </r>
  <r>
    <s v="ORD-0270"/>
    <x v="156"/>
    <s v="Ali Khan"/>
    <x v="4"/>
    <x v="0"/>
    <x v="0"/>
    <n v="4"/>
    <n v="2900"/>
    <n v="11600"/>
  </r>
  <r>
    <s v="ORD-0202"/>
    <x v="35"/>
    <s v="Fatima Ali"/>
    <x v="1"/>
    <x v="8"/>
    <x v="0"/>
    <n v="6"/>
    <n v="8400"/>
    <n v="50400"/>
  </r>
  <r>
    <s v="ORD-0162"/>
    <x v="5"/>
    <s v="Fatima Ali"/>
    <x v="0"/>
    <x v="4"/>
    <x v="0"/>
    <n v="8"/>
    <n v="5100"/>
    <n v="40800"/>
  </r>
  <r>
    <s v="ORD-0556"/>
    <x v="151"/>
    <s v="Fatima Ali"/>
    <x v="5"/>
    <x v="3"/>
    <x v="1"/>
    <n v="3"/>
    <n v="84900"/>
    <n v="254700"/>
  </r>
  <r>
    <s v="ORD-0730"/>
    <x v="23"/>
    <s v="Saad Khan"/>
    <x v="3"/>
    <x v="2"/>
    <x v="2"/>
    <n v="5"/>
    <n v="28400"/>
    <n v="142000"/>
  </r>
  <r>
    <s v="ORD-0402"/>
    <x v="113"/>
    <s v="Sara Khan"/>
    <x v="1"/>
    <x v="5"/>
    <x v="1"/>
    <n v="6"/>
    <n v="63100"/>
    <n v="378600"/>
  </r>
  <r>
    <s v="ORD-0703"/>
    <x v="157"/>
    <s v="Danish Raza"/>
    <x v="3"/>
    <x v="8"/>
    <x v="0"/>
    <n v="6"/>
    <n v="7400"/>
    <n v="44400"/>
  </r>
  <r>
    <s v="ORD-0477"/>
    <x v="102"/>
    <s v="Sara Khan"/>
    <x v="5"/>
    <x v="4"/>
    <x v="0"/>
    <n v="7"/>
    <n v="4900"/>
    <n v="34300"/>
  </r>
  <r>
    <s v="ORD-0822"/>
    <x v="17"/>
    <s v="Hamza Raza"/>
    <x v="5"/>
    <x v="7"/>
    <x v="3"/>
    <n v="2"/>
    <n v="19300"/>
    <n v="38600"/>
  </r>
  <r>
    <s v="ORD-0772"/>
    <x v="162"/>
    <s v="Fatima Ali"/>
    <x v="3"/>
    <x v="1"/>
    <x v="1"/>
    <n v="1"/>
    <n v="31600"/>
    <n v="31600"/>
  </r>
  <r>
    <s v="ORD-0106"/>
    <x v="0"/>
    <s v="Ahmed Ali"/>
    <x v="4"/>
    <x v="6"/>
    <x v="0"/>
    <n v="2"/>
    <n v="6400"/>
    <n v="12800"/>
  </r>
  <r>
    <s v="ORD-0566"/>
    <x v="170"/>
    <s v="Hassan Shah"/>
    <x v="3"/>
    <x v="1"/>
    <x v="1"/>
    <n v="8"/>
    <n v="38800"/>
    <n v="310400"/>
  </r>
  <r>
    <s v="ORD-0390"/>
    <x v="10"/>
    <s v="Sara Khan"/>
    <x v="2"/>
    <x v="9"/>
    <x v="3"/>
    <n v="4"/>
    <n v="27500"/>
    <n v="110000"/>
  </r>
  <r>
    <s v="ORD-0002"/>
    <x v="119"/>
    <s v="Ahmed Ali"/>
    <x v="3"/>
    <x v="1"/>
    <x v="1"/>
    <n v="2"/>
    <n v="36000"/>
    <n v="72000"/>
  </r>
  <r>
    <s v="ORD-0941"/>
    <x v="28"/>
    <s v="Zain Ahmed"/>
    <x v="0"/>
    <x v="0"/>
    <x v="0"/>
    <n v="4"/>
    <n v="2500"/>
    <n v="10000"/>
  </r>
  <r>
    <s v="ORD-0986"/>
    <x v="134"/>
    <s v="Danish Raza"/>
    <x v="2"/>
    <x v="0"/>
    <x v="0"/>
    <n v="3"/>
    <n v="2400"/>
    <n v="7200"/>
  </r>
  <r>
    <s v="ORD-0562"/>
    <x v="129"/>
    <s v="Hamza Raza"/>
    <x v="2"/>
    <x v="0"/>
    <x v="0"/>
    <n v="1"/>
    <n v="2500"/>
    <n v="2500"/>
  </r>
  <r>
    <s v="ORD-0081"/>
    <x v="149"/>
    <s v="Bilal Ahmed"/>
    <x v="4"/>
    <x v="4"/>
    <x v="0"/>
    <n v="5"/>
    <n v="4400"/>
    <n v="22000"/>
  </r>
  <r>
    <s v="ORD-0206"/>
    <x v="93"/>
    <s v="Usman Malik"/>
    <x v="3"/>
    <x v="2"/>
    <x v="2"/>
    <n v="6"/>
    <n v="24300"/>
    <n v="145800"/>
  </r>
  <r>
    <s v="ORD-0035"/>
    <x v="40"/>
    <s v="Fatima Ali"/>
    <x v="2"/>
    <x v="0"/>
    <x v="0"/>
    <n v="5"/>
    <n v="2600"/>
    <n v="13000"/>
  </r>
  <r>
    <s v="ORD-0776"/>
    <x v="102"/>
    <s v="Hassan Shah"/>
    <x v="5"/>
    <x v="9"/>
    <x v="3"/>
    <n v="1"/>
    <n v="31800"/>
    <n v="31800"/>
  </r>
  <r>
    <s v="ORD-0509"/>
    <x v="90"/>
    <s v="Fatima Ali"/>
    <x v="4"/>
    <x v="8"/>
    <x v="0"/>
    <n v="2"/>
    <n v="8200"/>
    <n v="16400"/>
  </r>
  <r>
    <s v="ORD-0428"/>
    <x v="137"/>
    <s v="Bilal Ahmed"/>
    <x v="5"/>
    <x v="3"/>
    <x v="1"/>
    <n v="4"/>
    <n v="91200"/>
    <n v="364800"/>
  </r>
  <r>
    <s v="ORD-0455"/>
    <x v="70"/>
    <s v="Ayesha Noor"/>
    <x v="3"/>
    <x v="5"/>
    <x v="1"/>
    <n v="3"/>
    <n v="58000"/>
    <n v="174000"/>
  </r>
  <r>
    <s v="ORD-0367"/>
    <x v="85"/>
    <s v="Fatima Ali"/>
    <x v="1"/>
    <x v="6"/>
    <x v="0"/>
    <n v="5"/>
    <n v="5800"/>
    <n v="29000"/>
  </r>
  <r>
    <s v="ORD-0092"/>
    <x v="115"/>
    <s v="Sara Khan"/>
    <x v="2"/>
    <x v="8"/>
    <x v="0"/>
    <n v="7"/>
    <n v="8800"/>
    <n v="61600"/>
  </r>
  <r>
    <s v="ORD-0340"/>
    <x v="31"/>
    <s v="Saad Khan"/>
    <x v="4"/>
    <x v="0"/>
    <x v="0"/>
    <n v="3"/>
    <n v="2700"/>
    <n v="8100"/>
  </r>
  <r>
    <s v="ORD-0898"/>
    <x v="91"/>
    <s v="Sara Khan"/>
    <x v="4"/>
    <x v="8"/>
    <x v="0"/>
    <n v="1"/>
    <n v="8500"/>
    <n v="8500"/>
  </r>
  <r>
    <s v="ORD-0565"/>
    <x v="56"/>
    <s v="Ahmed Ali"/>
    <x v="1"/>
    <x v="7"/>
    <x v="3"/>
    <n v="1"/>
    <n v="19900"/>
    <n v="19900"/>
  </r>
  <r>
    <s v="ORD-0346"/>
    <x v="2"/>
    <s v="Hassan Shah"/>
    <x v="5"/>
    <x v="5"/>
    <x v="1"/>
    <n v="1"/>
    <n v="56200"/>
    <n v="56200"/>
  </r>
  <r>
    <s v="ORD-0777"/>
    <x v="74"/>
    <s v="Zain Ahmed"/>
    <x v="3"/>
    <x v="1"/>
    <x v="1"/>
    <n v="5"/>
    <n v="38000"/>
    <n v="190000"/>
  </r>
  <r>
    <s v="ORD-0242"/>
    <x v="22"/>
    <s v="Saad Khan"/>
    <x v="1"/>
    <x v="6"/>
    <x v="0"/>
    <n v="6"/>
    <n v="5800"/>
    <n v="34800"/>
  </r>
  <r>
    <s v="ORD-0014"/>
    <x v="173"/>
    <s v="Usman Malik"/>
    <x v="3"/>
    <x v="0"/>
    <x v="0"/>
    <n v="6"/>
    <n v="2800"/>
    <n v="16800"/>
  </r>
  <r>
    <s v="ORD-0316"/>
    <x v="102"/>
    <s v="Sara Khan"/>
    <x v="2"/>
    <x v="8"/>
    <x v="0"/>
    <n v="4"/>
    <n v="7100"/>
    <n v="28400"/>
  </r>
  <r>
    <s v="ORD-0601"/>
    <x v="173"/>
    <s v="Usman Malik"/>
    <x v="5"/>
    <x v="0"/>
    <x v="0"/>
    <n v="4"/>
    <n v="2300"/>
    <n v="9200"/>
  </r>
  <r>
    <s v="ORD-0388"/>
    <x v="55"/>
    <s v="Ayesha Noor"/>
    <x v="0"/>
    <x v="3"/>
    <x v="1"/>
    <n v="2"/>
    <n v="84100"/>
    <n v="168200"/>
  </r>
  <r>
    <s v="ORD-0274"/>
    <x v="12"/>
    <s v="Usman Malik"/>
    <x v="5"/>
    <x v="8"/>
    <x v="0"/>
    <n v="5"/>
    <n v="8600"/>
    <n v="43000"/>
  </r>
  <r>
    <s v="ORD-0167"/>
    <x v="60"/>
    <s v="Hassan Shah"/>
    <x v="4"/>
    <x v="8"/>
    <x v="0"/>
    <n v="3"/>
    <n v="7900"/>
    <n v="23700"/>
  </r>
  <r>
    <s v="ORD-0841"/>
    <x v="19"/>
    <s v="Danish Raza"/>
    <x v="1"/>
    <x v="9"/>
    <x v="3"/>
    <n v="1"/>
    <n v="34000"/>
    <n v="34000"/>
  </r>
  <r>
    <s v="ORD-0996"/>
    <x v="181"/>
    <s v="Usman Malik"/>
    <x v="5"/>
    <x v="3"/>
    <x v="1"/>
    <n v="5"/>
    <n v="87700"/>
    <n v="438500"/>
  </r>
  <r>
    <s v="ORD-0647"/>
    <x v="36"/>
    <s v="Ayesha Noor"/>
    <x v="0"/>
    <x v="7"/>
    <x v="3"/>
    <n v="6"/>
    <n v="24500"/>
    <n v="147000"/>
  </r>
  <r>
    <s v="ORD-0819"/>
    <x v="129"/>
    <s v="Hamza Raza"/>
    <x v="3"/>
    <x v="9"/>
    <x v="3"/>
    <n v="2"/>
    <n v="27600"/>
    <n v="55200"/>
  </r>
  <r>
    <s v="ORD-0485"/>
    <x v="130"/>
    <s v="Sara Khan"/>
    <x v="3"/>
    <x v="9"/>
    <x v="3"/>
    <n v="3"/>
    <n v="28600"/>
    <n v="85800"/>
  </r>
  <r>
    <s v="ORD-0984"/>
    <x v="135"/>
    <s v="Fatima Ali"/>
    <x v="4"/>
    <x v="2"/>
    <x v="2"/>
    <n v="6"/>
    <n v="29100"/>
    <n v="174600"/>
  </r>
  <r>
    <s v="ORD-0505"/>
    <x v="150"/>
    <s v="Danish Raza"/>
    <x v="1"/>
    <x v="0"/>
    <x v="0"/>
    <n v="7"/>
    <n v="2800"/>
    <n v="19600"/>
  </r>
  <r>
    <s v="ORD-0832"/>
    <x v="117"/>
    <s v="Usman Malik"/>
    <x v="1"/>
    <x v="9"/>
    <x v="3"/>
    <n v="5"/>
    <n v="34400"/>
    <n v="172000"/>
  </r>
  <r>
    <s v="ORD-0244"/>
    <x v="57"/>
    <s v="Ayesha Noor"/>
    <x v="3"/>
    <x v="7"/>
    <x v="3"/>
    <n v="6"/>
    <n v="19200"/>
    <n v="115200"/>
  </r>
  <r>
    <s v="ORD-0567"/>
    <x v="6"/>
    <s v="Bilal Ahmed"/>
    <x v="5"/>
    <x v="7"/>
    <x v="3"/>
    <n v="8"/>
    <n v="18800"/>
    <n v="150400"/>
  </r>
  <r>
    <s v="ORD-0876"/>
    <x v="61"/>
    <s v="Ali Khan"/>
    <x v="1"/>
    <x v="0"/>
    <x v="0"/>
    <n v="5"/>
    <n v="2500"/>
    <n v="12500"/>
  </r>
  <r>
    <s v="ORD-0563"/>
    <x v="28"/>
    <s v="Ayesha Noor"/>
    <x v="0"/>
    <x v="3"/>
    <x v="1"/>
    <n v="7"/>
    <n v="78000"/>
    <n v="546000"/>
  </r>
  <r>
    <s v="ORD-0687"/>
    <x v="157"/>
    <s v="Hassan Shah"/>
    <x v="5"/>
    <x v="3"/>
    <x v="1"/>
    <n v="4"/>
    <n v="90900"/>
    <n v="363600"/>
  </r>
  <r>
    <s v="ORD-0190"/>
    <x v="84"/>
    <s v="Ahmed Ali"/>
    <x v="4"/>
    <x v="4"/>
    <x v="0"/>
    <n v="2"/>
    <n v="5000"/>
    <n v="10000"/>
  </r>
  <r>
    <s v="ORD-0783"/>
    <x v="48"/>
    <s v="Zain Ahmed"/>
    <x v="4"/>
    <x v="7"/>
    <x v="3"/>
    <n v="3"/>
    <n v="19800"/>
    <n v="59400"/>
  </r>
  <r>
    <s v="ORD-0700"/>
    <x v="105"/>
    <s v="Sara Khan"/>
    <x v="2"/>
    <x v="9"/>
    <x v="3"/>
    <n v="2"/>
    <n v="28000"/>
    <n v="56000"/>
  </r>
  <r>
    <s v="ORD-0476"/>
    <x v="72"/>
    <s v="Bilal Ahmed"/>
    <x v="0"/>
    <x v="8"/>
    <x v="0"/>
    <n v="3"/>
    <n v="8300"/>
    <n v="24900"/>
  </r>
  <r>
    <s v="ORD-0682"/>
    <x v="37"/>
    <s v="Hamza Raza"/>
    <x v="4"/>
    <x v="2"/>
    <x v="2"/>
    <n v="7"/>
    <n v="32100"/>
    <n v="224700"/>
  </r>
  <r>
    <s v="ORD-0511"/>
    <x v="53"/>
    <s v="Usman Malik"/>
    <x v="4"/>
    <x v="5"/>
    <x v="1"/>
    <n v="2"/>
    <n v="58900"/>
    <n v="117800"/>
  </r>
  <r>
    <s v="ORD-0059"/>
    <x v="162"/>
    <s v="Ahmed Ali"/>
    <x v="3"/>
    <x v="0"/>
    <x v="0"/>
    <n v="5"/>
    <n v="2500"/>
    <n v="12500"/>
  </r>
  <r>
    <s v="ORD-0475"/>
    <x v="78"/>
    <s v="Ayesha Noor"/>
    <x v="0"/>
    <x v="8"/>
    <x v="0"/>
    <n v="5"/>
    <n v="8800"/>
    <n v="44000"/>
  </r>
  <r>
    <s v="ORD-0561"/>
    <x v="149"/>
    <s v="Ahmed Ali"/>
    <x v="3"/>
    <x v="1"/>
    <x v="1"/>
    <n v="4"/>
    <n v="37500"/>
    <n v="150000"/>
  </r>
  <r>
    <s v="ORD-0857"/>
    <x v="180"/>
    <s v="Zain Ahmed"/>
    <x v="4"/>
    <x v="4"/>
    <x v="0"/>
    <n v="8"/>
    <n v="4200"/>
    <n v="33600"/>
  </r>
  <r>
    <s v="ORD-0748"/>
    <x v="44"/>
    <s v="Bilal Ahmed"/>
    <x v="2"/>
    <x v="6"/>
    <x v="0"/>
    <n v="3"/>
    <n v="7200"/>
    <n v="21600"/>
  </r>
  <r>
    <s v="ORD-0253"/>
    <x v="155"/>
    <s v="Sara Khan"/>
    <x v="0"/>
    <x v="8"/>
    <x v="0"/>
    <n v="8"/>
    <n v="8600"/>
    <n v="68800"/>
  </r>
  <r>
    <s v="ORD-0022"/>
    <x v="34"/>
    <s v="Ali Khan"/>
    <x v="4"/>
    <x v="1"/>
    <x v="1"/>
    <n v="5"/>
    <n v="37800"/>
    <n v="189000"/>
  </r>
  <r>
    <s v="ORD-0314"/>
    <x v="167"/>
    <s v="Fatima Ali"/>
    <x v="3"/>
    <x v="3"/>
    <x v="1"/>
    <n v="3"/>
    <n v="85000"/>
    <n v="255000"/>
  </r>
  <r>
    <s v="ORD-0460"/>
    <x v="46"/>
    <s v="Fatima Ali"/>
    <x v="1"/>
    <x v="4"/>
    <x v="0"/>
    <n v="7"/>
    <n v="4400"/>
    <n v="30800"/>
  </r>
  <r>
    <s v="ORD-0161"/>
    <x v="65"/>
    <s v="Sara Khan"/>
    <x v="3"/>
    <x v="7"/>
    <x v="3"/>
    <n v="7"/>
    <n v="19300"/>
    <n v="135100"/>
  </r>
  <r>
    <s v="ORD-0277"/>
    <x v="6"/>
    <s v="Zain Ahmed"/>
    <x v="2"/>
    <x v="7"/>
    <x v="3"/>
    <n v="7"/>
    <n v="25100"/>
    <n v="175700"/>
  </r>
  <r>
    <s v="ORD-0956"/>
    <x v="173"/>
    <s v="Hassan Shah"/>
    <x v="4"/>
    <x v="9"/>
    <x v="3"/>
    <n v="7"/>
    <n v="26200"/>
    <n v="183400"/>
  </r>
  <r>
    <s v="ORD-0192"/>
    <x v="83"/>
    <s v="Fatima Ali"/>
    <x v="4"/>
    <x v="2"/>
    <x v="2"/>
    <n v="7"/>
    <n v="25300"/>
    <n v="177100"/>
  </r>
  <r>
    <s v="ORD-0386"/>
    <x v="90"/>
    <s v="Hassan Shah"/>
    <x v="4"/>
    <x v="5"/>
    <x v="1"/>
    <n v="4"/>
    <n v="54100"/>
    <n v="216400"/>
  </r>
  <r>
    <s v="ORD-0806"/>
    <x v="163"/>
    <s v="Fatima Ali"/>
    <x v="1"/>
    <x v="1"/>
    <x v="1"/>
    <n v="5"/>
    <n v="33700"/>
    <n v="168500"/>
  </r>
  <r>
    <s v="ORD-0414"/>
    <x v="101"/>
    <s v="Hassan Shah"/>
    <x v="0"/>
    <x v="4"/>
    <x v="0"/>
    <n v="7"/>
    <n v="4600"/>
    <n v="32200"/>
  </r>
  <r>
    <s v="ORD-0492"/>
    <x v="61"/>
    <s v="Hamza Raza"/>
    <x v="2"/>
    <x v="8"/>
    <x v="0"/>
    <n v="4"/>
    <n v="8700"/>
    <n v="34800"/>
  </r>
  <r>
    <s v="ORD-0344"/>
    <x v="153"/>
    <s v="Ali Khan"/>
    <x v="1"/>
    <x v="8"/>
    <x v="0"/>
    <n v="8"/>
    <n v="7500"/>
    <n v="60000"/>
  </r>
  <r>
    <s v="ORD-0770"/>
    <x v="67"/>
    <s v="Saad Khan"/>
    <x v="1"/>
    <x v="5"/>
    <x v="1"/>
    <n v="2"/>
    <n v="50100"/>
    <n v="100200"/>
  </r>
  <r>
    <s v="ORD-0309"/>
    <x v="29"/>
    <s v="Danish Raza"/>
    <x v="1"/>
    <x v="4"/>
    <x v="0"/>
    <n v="1"/>
    <n v="4000"/>
    <n v="4000"/>
  </r>
  <r>
    <s v="ORD-0662"/>
    <x v="84"/>
    <s v="Usman Malik"/>
    <x v="0"/>
    <x v="9"/>
    <x v="3"/>
    <n v="4"/>
    <n v="33200"/>
    <n v="132800"/>
  </r>
  <r>
    <s v="ORD-0131"/>
    <x v="108"/>
    <s v="Fatima Ali"/>
    <x v="2"/>
    <x v="2"/>
    <x v="2"/>
    <n v="3"/>
    <n v="26300"/>
    <n v="78900"/>
  </r>
  <r>
    <s v="ORD-0664"/>
    <x v="84"/>
    <s v="Hamza Raza"/>
    <x v="5"/>
    <x v="3"/>
    <x v="1"/>
    <n v="8"/>
    <n v="95500"/>
    <n v="764000"/>
  </r>
  <r>
    <s v="ORD-0872"/>
    <x v="113"/>
    <s v="Usman Malik"/>
    <x v="2"/>
    <x v="6"/>
    <x v="0"/>
    <n v="4"/>
    <n v="6600"/>
    <n v="26400"/>
  </r>
  <r>
    <s v="ORD-0100"/>
    <x v="49"/>
    <s v="Ayesha Noor"/>
    <x v="1"/>
    <x v="5"/>
    <x v="1"/>
    <n v="4"/>
    <n v="54800"/>
    <n v="219200"/>
  </r>
  <r>
    <s v="ORD-0373"/>
    <x v="97"/>
    <s v="Ahmed Ali"/>
    <x v="5"/>
    <x v="2"/>
    <x v="2"/>
    <n v="8"/>
    <n v="24600"/>
    <n v="196800"/>
  </r>
  <r>
    <s v="ORD-0088"/>
    <x v="33"/>
    <s v="Danish Raza"/>
    <x v="0"/>
    <x v="5"/>
    <x v="1"/>
    <n v="8"/>
    <n v="53300"/>
    <n v="426400"/>
  </r>
  <r>
    <s v="ORD-0459"/>
    <x v="145"/>
    <s v="Hamza Raza"/>
    <x v="3"/>
    <x v="8"/>
    <x v="0"/>
    <n v="6"/>
    <n v="8600"/>
    <n v="51600"/>
  </r>
  <r>
    <s v="ORD-0331"/>
    <x v="31"/>
    <s v="Bilal Ahmed"/>
    <x v="0"/>
    <x v="1"/>
    <x v="1"/>
    <n v="1"/>
    <n v="39700"/>
    <n v="39700"/>
  </r>
  <r>
    <s v="ORD-0215"/>
    <x v="48"/>
    <s v="Zain Ahmed"/>
    <x v="3"/>
    <x v="7"/>
    <x v="3"/>
    <n v="2"/>
    <n v="21700"/>
    <n v="43400"/>
  </r>
  <r>
    <s v="ORD-0467"/>
    <x v="110"/>
    <s v="Sara Khan"/>
    <x v="3"/>
    <x v="0"/>
    <x v="0"/>
    <n v="8"/>
    <n v="2600"/>
    <n v="20800"/>
  </r>
  <r>
    <s v="ORD-0122"/>
    <x v="56"/>
    <s v="Usman Malik"/>
    <x v="3"/>
    <x v="9"/>
    <x v="3"/>
    <n v="5"/>
    <n v="30500"/>
    <n v="152500"/>
  </r>
  <r>
    <s v="ORD-0615"/>
    <x v="159"/>
    <s v="Zain Ahmed"/>
    <x v="2"/>
    <x v="5"/>
    <x v="1"/>
    <n v="1"/>
    <n v="49800"/>
    <n v="49800"/>
  </r>
  <r>
    <s v="ORD-0021"/>
    <x v="153"/>
    <s v="Danish Raza"/>
    <x v="0"/>
    <x v="8"/>
    <x v="0"/>
    <n v="5"/>
    <n v="9100"/>
    <n v="45500"/>
  </r>
  <r>
    <s v="ORD-0701"/>
    <x v="116"/>
    <s v="Usman Malik"/>
    <x v="4"/>
    <x v="9"/>
    <x v="3"/>
    <n v="4"/>
    <n v="32500"/>
    <n v="130000"/>
  </r>
  <r>
    <s v="ORD-0072"/>
    <x v="144"/>
    <s v="Hassan Shah"/>
    <x v="3"/>
    <x v="7"/>
    <x v="3"/>
    <n v="7"/>
    <n v="23200"/>
    <n v="162400"/>
  </r>
  <r>
    <s v="ORD-0107"/>
    <x v="82"/>
    <s v="Ahmed Ali"/>
    <x v="3"/>
    <x v="0"/>
    <x v="0"/>
    <n v="2"/>
    <n v="2700"/>
    <n v="5400"/>
  </r>
  <r>
    <s v="ORD-0271"/>
    <x v="99"/>
    <s v="Hamza Raza"/>
    <x v="5"/>
    <x v="1"/>
    <x v="1"/>
    <n v="1"/>
    <n v="36700"/>
    <n v="36700"/>
  </r>
  <r>
    <s v="ORD-0861"/>
    <x v="0"/>
    <s v="Ahmed Ali"/>
    <x v="1"/>
    <x v="8"/>
    <x v="0"/>
    <n v="1"/>
    <n v="8600"/>
    <n v="8600"/>
  </r>
  <r>
    <s v="ORD-0436"/>
    <x v="76"/>
    <s v="Hassan Shah"/>
    <x v="3"/>
    <x v="4"/>
    <x v="0"/>
    <n v="1"/>
    <n v="4100"/>
    <n v="4100"/>
  </r>
  <r>
    <s v="ORD-0103"/>
    <x v="75"/>
    <s v="Hamza Raza"/>
    <x v="1"/>
    <x v="5"/>
    <x v="1"/>
    <n v="1"/>
    <n v="48100"/>
    <n v="48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5BDA72-B200-4150-A6F1-A92FD25E28C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1">
    <pivotField showAll="0"/>
    <pivotField numFmtId="14" showAll="0">
      <items count="183">
        <item x="149"/>
        <item x="32"/>
        <item x="153"/>
        <item x="157"/>
        <item x="137"/>
        <item x="138"/>
        <item x="130"/>
        <item x="38"/>
        <item x="119"/>
        <item x="58"/>
        <item x="57"/>
        <item x="128"/>
        <item x="101"/>
        <item x="11"/>
        <item x="173"/>
        <item x="172"/>
        <item x="124"/>
        <item x="78"/>
        <item x="102"/>
        <item x="87"/>
        <item x="177"/>
        <item x="168"/>
        <item x="160"/>
        <item x="106"/>
        <item x="79"/>
        <item x="164"/>
        <item x="145"/>
        <item x="105"/>
        <item x="94"/>
        <item x="65"/>
        <item x="146"/>
        <item x="25"/>
        <item x="111"/>
        <item x="83"/>
        <item x="10"/>
        <item x="97"/>
        <item x="141"/>
        <item x="33"/>
        <item x="81"/>
        <item x="156"/>
        <item x="55"/>
        <item x="165"/>
        <item x="98"/>
        <item x="118"/>
        <item x="19"/>
        <item x="121"/>
        <item x="64"/>
        <item x="142"/>
        <item x="178"/>
        <item x="2"/>
        <item x="110"/>
        <item x="6"/>
        <item x="95"/>
        <item x="179"/>
        <item x="40"/>
        <item x="180"/>
        <item x="48"/>
        <item x="163"/>
        <item x="109"/>
        <item x="43"/>
        <item x="135"/>
        <item x="72"/>
        <item x="158"/>
        <item x="28"/>
        <item x="162"/>
        <item x="73"/>
        <item x="89"/>
        <item x="36"/>
        <item x="90"/>
        <item x="49"/>
        <item x="93"/>
        <item x="9"/>
        <item x="88"/>
        <item x="107"/>
        <item x="5"/>
        <item x="41"/>
        <item x="51"/>
        <item x="74"/>
        <item x="169"/>
        <item x="170"/>
        <item x="27"/>
        <item x="159"/>
        <item x="154"/>
        <item x="100"/>
        <item x="30"/>
        <item x="47"/>
        <item x="42"/>
        <item x="34"/>
        <item x="151"/>
        <item x="4"/>
        <item x="176"/>
        <item x="62"/>
        <item x="147"/>
        <item x="63"/>
        <item x="174"/>
        <item x="23"/>
        <item x="140"/>
        <item x="113"/>
        <item x="129"/>
        <item x="167"/>
        <item x="134"/>
        <item x="117"/>
        <item x="14"/>
        <item x="127"/>
        <item x="8"/>
        <item x="45"/>
        <item x="69"/>
        <item x="139"/>
        <item x="123"/>
        <item x="75"/>
        <item x="104"/>
        <item x="126"/>
        <item x="161"/>
        <item x="103"/>
        <item x="12"/>
        <item x="52"/>
        <item x="76"/>
        <item x="37"/>
        <item x="96"/>
        <item x="148"/>
        <item x="122"/>
        <item x="20"/>
        <item x="92"/>
        <item x="60"/>
        <item x="166"/>
        <item x="91"/>
        <item x="131"/>
        <item x="22"/>
        <item x="71"/>
        <item x="150"/>
        <item x="125"/>
        <item x="21"/>
        <item x="56"/>
        <item x="116"/>
        <item x="77"/>
        <item x="136"/>
        <item x="68"/>
        <item x="144"/>
        <item x="0"/>
        <item x="16"/>
        <item x="115"/>
        <item x="80"/>
        <item x="46"/>
        <item x="120"/>
        <item x="15"/>
        <item x="24"/>
        <item x="132"/>
        <item x="31"/>
        <item x="155"/>
        <item x="39"/>
        <item x="59"/>
        <item x="152"/>
        <item x="3"/>
        <item x="171"/>
        <item x="133"/>
        <item x="29"/>
        <item x="181"/>
        <item x="66"/>
        <item x="99"/>
        <item x="18"/>
        <item x="1"/>
        <item x="61"/>
        <item x="13"/>
        <item x="26"/>
        <item x="143"/>
        <item x="84"/>
        <item x="82"/>
        <item x="53"/>
        <item x="17"/>
        <item x="70"/>
        <item x="7"/>
        <item x="54"/>
        <item x="175"/>
        <item x="85"/>
        <item x="114"/>
        <item x="86"/>
        <item x="44"/>
        <item x="112"/>
        <item x="35"/>
        <item x="67"/>
        <item x="50"/>
        <item x="108"/>
        <item t="default"/>
      </items>
    </pivotField>
    <pivotField showAll="0"/>
    <pivotField showAll="0">
      <items count="7">
        <item x="5"/>
        <item x="4"/>
        <item x="3"/>
        <item x="2"/>
        <item x="0"/>
        <item x="1"/>
        <item t="default"/>
      </items>
    </pivotField>
    <pivotField showAll="0">
      <items count="12">
        <item x="7"/>
        <item x="9"/>
        <item x="6"/>
        <item x="4"/>
        <item x="3"/>
        <item x="10"/>
        <item x="1"/>
        <item x="0"/>
        <item x="2"/>
        <item x="5"/>
        <item x="8"/>
        <item t="default"/>
      </items>
    </pivotField>
    <pivotField axis="axisRow" showAll="0">
      <items count="5">
        <item x="0"/>
        <item x="1"/>
        <item x="3"/>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8"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4E0E98-509C-4CDF-8846-BC0A29A266D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1">
    <pivotField showAll="0"/>
    <pivotField numFmtId="14" showAll="0">
      <items count="183">
        <item x="149"/>
        <item x="32"/>
        <item x="153"/>
        <item x="157"/>
        <item x="137"/>
        <item x="138"/>
        <item x="130"/>
        <item x="38"/>
        <item x="119"/>
        <item x="58"/>
        <item x="57"/>
        <item x="128"/>
        <item x="101"/>
        <item x="11"/>
        <item x="173"/>
        <item x="172"/>
        <item x="124"/>
        <item x="78"/>
        <item x="102"/>
        <item x="87"/>
        <item x="177"/>
        <item x="168"/>
        <item x="160"/>
        <item x="106"/>
        <item x="79"/>
        <item x="164"/>
        <item x="145"/>
        <item x="105"/>
        <item x="94"/>
        <item x="65"/>
        <item x="146"/>
        <item x="25"/>
        <item x="111"/>
        <item x="83"/>
        <item x="10"/>
        <item x="97"/>
        <item x="141"/>
        <item x="33"/>
        <item x="81"/>
        <item x="156"/>
        <item x="55"/>
        <item x="165"/>
        <item x="98"/>
        <item x="118"/>
        <item x="19"/>
        <item x="121"/>
        <item x="64"/>
        <item x="142"/>
        <item x="178"/>
        <item x="2"/>
        <item x="110"/>
        <item x="6"/>
        <item x="95"/>
        <item x="179"/>
        <item x="40"/>
        <item x="180"/>
        <item x="48"/>
        <item x="163"/>
        <item x="109"/>
        <item x="43"/>
        <item x="135"/>
        <item x="72"/>
        <item x="158"/>
        <item x="28"/>
        <item x="162"/>
        <item x="73"/>
        <item x="89"/>
        <item x="36"/>
        <item x="90"/>
        <item x="49"/>
        <item x="93"/>
        <item x="9"/>
        <item x="88"/>
        <item x="107"/>
        <item x="5"/>
        <item x="41"/>
        <item x="51"/>
        <item x="74"/>
        <item x="169"/>
        <item x="170"/>
        <item x="27"/>
        <item x="159"/>
        <item x="154"/>
        <item x="100"/>
        <item x="30"/>
        <item x="47"/>
        <item x="42"/>
        <item x="34"/>
        <item x="151"/>
        <item x="4"/>
        <item x="176"/>
        <item x="62"/>
        <item x="147"/>
        <item x="63"/>
        <item x="174"/>
        <item x="23"/>
        <item x="140"/>
        <item x="113"/>
        <item x="129"/>
        <item x="167"/>
        <item x="134"/>
        <item x="117"/>
        <item x="14"/>
        <item x="127"/>
        <item x="8"/>
        <item x="45"/>
        <item x="69"/>
        <item x="139"/>
        <item x="123"/>
        <item x="75"/>
        <item x="104"/>
        <item x="126"/>
        <item x="161"/>
        <item x="103"/>
        <item x="12"/>
        <item x="52"/>
        <item x="76"/>
        <item x="37"/>
        <item x="96"/>
        <item x="148"/>
        <item x="122"/>
        <item x="20"/>
        <item x="92"/>
        <item x="60"/>
        <item x="166"/>
        <item x="91"/>
        <item x="131"/>
        <item x="22"/>
        <item x="71"/>
        <item x="150"/>
        <item x="125"/>
        <item x="21"/>
        <item x="56"/>
        <item x="116"/>
        <item x="77"/>
        <item x="136"/>
        <item x="68"/>
        <item x="144"/>
        <item x="0"/>
        <item x="16"/>
        <item x="115"/>
        <item x="80"/>
        <item x="46"/>
        <item x="120"/>
        <item x="15"/>
        <item x="24"/>
        <item x="132"/>
        <item x="31"/>
        <item x="155"/>
        <item x="39"/>
        <item x="59"/>
        <item x="152"/>
        <item x="3"/>
        <item x="171"/>
        <item x="133"/>
        <item x="29"/>
        <item x="181"/>
        <item x="66"/>
        <item x="99"/>
        <item x="18"/>
        <item x="1"/>
        <item x="61"/>
        <item x="13"/>
        <item x="26"/>
        <item x="143"/>
        <item x="84"/>
        <item x="82"/>
        <item x="53"/>
        <item x="17"/>
        <item x="70"/>
        <item x="7"/>
        <item x="54"/>
        <item x="175"/>
        <item x="85"/>
        <item x="114"/>
        <item x="86"/>
        <item x="44"/>
        <item x="112"/>
        <item x="35"/>
        <item x="67"/>
        <item x="50"/>
        <item x="108"/>
        <item t="default"/>
      </items>
    </pivotField>
    <pivotField showAll="0"/>
    <pivotField axis="axisRow" showAll="0">
      <items count="7">
        <item x="5"/>
        <item x="4"/>
        <item x="3"/>
        <item x="2"/>
        <item x="0"/>
        <item x="1"/>
        <item t="default"/>
      </items>
    </pivotField>
    <pivotField showAll="0">
      <items count="12">
        <item x="7"/>
        <item x="9"/>
        <item x="6"/>
        <item x="4"/>
        <item x="3"/>
        <item x="10"/>
        <item x="1"/>
        <item x="0"/>
        <item x="2"/>
        <item x="5"/>
        <item x="8"/>
        <item t="default"/>
      </items>
    </pivotField>
    <pivotField showAll="0">
      <items count="5">
        <item x="0"/>
        <item x="1"/>
        <item x="3"/>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Sales" fld="8"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ECCD11-EB7F-43D2-9B70-B0A9F8458BA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1">
    <pivotField showAll="0"/>
    <pivotField axis="axisRow" numFmtId="14" showAll="0">
      <items count="183">
        <item x="149"/>
        <item x="32"/>
        <item x="153"/>
        <item x="157"/>
        <item x="137"/>
        <item x="138"/>
        <item x="130"/>
        <item x="38"/>
        <item x="119"/>
        <item x="58"/>
        <item x="57"/>
        <item x="128"/>
        <item x="101"/>
        <item x="11"/>
        <item x="173"/>
        <item x="172"/>
        <item x="124"/>
        <item x="78"/>
        <item x="102"/>
        <item x="87"/>
        <item x="177"/>
        <item x="168"/>
        <item x="160"/>
        <item x="106"/>
        <item x="79"/>
        <item x="164"/>
        <item x="145"/>
        <item x="105"/>
        <item x="94"/>
        <item x="65"/>
        <item x="146"/>
        <item x="25"/>
        <item x="111"/>
        <item x="83"/>
        <item x="10"/>
        <item x="97"/>
        <item x="141"/>
        <item x="33"/>
        <item x="81"/>
        <item x="156"/>
        <item x="55"/>
        <item x="165"/>
        <item x="98"/>
        <item x="118"/>
        <item x="19"/>
        <item x="121"/>
        <item x="64"/>
        <item x="142"/>
        <item x="178"/>
        <item x="2"/>
        <item x="110"/>
        <item x="6"/>
        <item x="95"/>
        <item x="179"/>
        <item x="40"/>
        <item x="180"/>
        <item x="48"/>
        <item x="163"/>
        <item x="109"/>
        <item x="43"/>
        <item x="135"/>
        <item x="72"/>
        <item x="158"/>
        <item x="28"/>
        <item x="162"/>
        <item x="73"/>
        <item x="89"/>
        <item x="36"/>
        <item x="90"/>
        <item x="49"/>
        <item x="93"/>
        <item x="9"/>
        <item x="88"/>
        <item x="107"/>
        <item x="5"/>
        <item x="41"/>
        <item x="51"/>
        <item x="74"/>
        <item x="169"/>
        <item x="170"/>
        <item x="27"/>
        <item x="159"/>
        <item x="154"/>
        <item x="100"/>
        <item x="30"/>
        <item x="47"/>
        <item x="42"/>
        <item x="34"/>
        <item x="151"/>
        <item x="4"/>
        <item x="176"/>
        <item x="62"/>
        <item x="147"/>
        <item x="63"/>
        <item x="174"/>
        <item x="23"/>
        <item x="140"/>
        <item x="113"/>
        <item x="129"/>
        <item x="167"/>
        <item x="134"/>
        <item x="117"/>
        <item x="14"/>
        <item x="127"/>
        <item x="8"/>
        <item x="45"/>
        <item x="69"/>
        <item x="139"/>
        <item x="123"/>
        <item x="75"/>
        <item x="104"/>
        <item x="126"/>
        <item x="161"/>
        <item x="103"/>
        <item x="12"/>
        <item x="52"/>
        <item x="76"/>
        <item x="37"/>
        <item x="96"/>
        <item x="148"/>
        <item x="122"/>
        <item x="20"/>
        <item x="92"/>
        <item x="60"/>
        <item x="166"/>
        <item x="91"/>
        <item x="131"/>
        <item x="22"/>
        <item x="71"/>
        <item x="150"/>
        <item x="125"/>
        <item x="21"/>
        <item x="56"/>
        <item x="116"/>
        <item x="77"/>
        <item x="136"/>
        <item x="68"/>
        <item x="144"/>
        <item x="0"/>
        <item x="16"/>
        <item x="115"/>
        <item x="80"/>
        <item x="46"/>
        <item x="120"/>
        <item x="15"/>
        <item x="24"/>
        <item x="132"/>
        <item x="31"/>
        <item x="155"/>
        <item x="39"/>
        <item x="59"/>
        <item x="152"/>
        <item x="3"/>
        <item x="171"/>
        <item x="133"/>
        <item x="29"/>
        <item x="181"/>
        <item x="66"/>
        <item x="99"/>
        <item x="18"/>
        <item x="1"/>
        <item x="61"/>
        <item x="13"/>
        <item x="26"/>
        <item x="143"/>
        <item x="84"/>
        <item x="82"/>
        <item x="53"/>
        <item x="17"/>
        <item x="70"/>
        <item x="7"/>
        <item x="54"/>
        <item x="175"/>
        <item x="85"/>
        <item x="114"/>
        <item x="86"/>
        <item x="44"/>
        <item x="112"/>
        <item x="35"/>
        <item x="67"/>
        <item x="50"/>
        <item x="108"/>
        <item t="default"/>
      </items>
    </pivotField>
    <pivotField showAll="0"/>
    <pivotField showAll="0">
      <items count="7">
        <item x="5"/>
        <item x="4"/>
        <item x="3"/>
        <item x="2"/>
        <item x="0"/>
        <item x="1"/>
        <item t="default"/>
      </items>
    </pivotField>
    <pivotField showAll="0">
      <items count="12">
        <item x="7"/>
        <item x="9"/>
        <item x="6"/>
        <item x="4"/>
        <item x="3"/>
        <item x="10"/>
        <item x="1"/>
        <item x="0"/>
        <item x="2"/>
        <item x="5"/>
        <item x="8"/>
        <item t="default"/>
      </items>
    </pivotField>
    <pivotField showAll="0">
      <items count="5">
        <item x="0"/>
        <item x="1"/>
        <item x="3"/>
        <item x="2"/>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0"/>
    <field x="9"/>
    <field x="1"/>
  </rowFields>
  <rowItems count="8">
    <i>
      <x v="1"/>
    </i>
    <i>
      <x v="2"/>
    </i>
    <i>
      <x v="3"/>
    </i>
    <i>
      <x v="4"/>
    </i>
    <i>
      <x v="5"/>
    </i>
    <i>
      <x v="6"/>
    </i>
    <i>
      <x v="7"/>
    </i>
    <i t="grand">
      <x/>
    </i>
  </rowItems>
  <colItems count="1">
    <i/>
  </colItems>
  <dataFields count="1">
    <dataField name="Sum of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94A58-F793-4CE0-A999-EEFF9F01289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1">
    <pivotField showAll="0"/>
    <pivotField numFmtId="14" showAll="0">
      <items count="183">
        <item x="149"/>
        <item x="32"/>
        <item x="153"/>
        <item x="157"/>
        <item x="137"/>
        <item x="138"/>
        <item x="130"/>
        <item x="38"/>
        <item x="119"/>
        <item x="58"/>
        <item x="57"/>
        <item x="128"/>
        <item x="101"/>
        <item x="11"/>
        <item x="173"/>
        <item x="172"/>
        <item x="124"/>
        <item x="78"/>
        <item x="102"/>
        <item x="87"/>
        <item x="177"/>
        <item x="168"/>
        <item x="160"/>
        <item x="106"/>
        <item x="79"/>
        <item x="164"/>
        <item x="145"/>
        <item x="105"/>
        <item x="94"/>
        <item x="65"/>
        <item x="146"/>
        <item x="25"/>
        <item x="111"/>
        <item x="83"/>
        <item x="10"/>
        <item x="97"/>
        <item x="141"/>
        <item x="33"/>
        <item x="81"/>
        <item x="156"/>
        <item x="55"/>
        <item x="165"/>
        <item x="98"/>
        <item x="118"/>
        <item x="19"/>
        <item x="121"/>
        <item x="64"/>
        <item x="142"/>
        <item x="178"/>
        <item x="2"/>
        <item x="110"/>
        <item x="6"/>
        <item x="95"/>
        <item x="179"/>
        <item x="40"/>
        <item x="180"/>
        <item x="48"/>
        <item x="163"/>
        <item x="109"/>
        <item x="43"/>
        <item x="135"/>
        <item x="72"/>
        <item x="158"/>
        <item x="28"/>
        <item x="162"/>
        <item x="73"/>
        <item x="89"/>
        <item x="36"/>
        <item x="90"/>
        <item x="49"/>
        <item x="93"/>
        <item x="9"/>
        <item x="88"/>
        <item x="107"/>
        <item x="5"/>
        <item x="41"/>
        <item x="51"/>
        <item x="74"/>
        <item x="169"/>
        <item x="170"/>
        <item x="27"/>
        <item x="159"/>
        <item x="154"/>
        <item x="100"/>
        <item x="30"/>
        <item x="47"/>
        <item x="42"/>
        <item x="34"/>
        <item x="151"/>
        <item x="4"/>
        <item x="176"/>
        <item x="62"/>
        <item x="147"/>
        <item x="63"/>
        <item x="174"/>
        <item x="23"/>
        <item x="140"/>
        <item x="113"/>
        <item x="129"/>
        <item x="167"/>
        <item x="134"/>
        <item x="117"/>
        <item x="14"/>
        <item x="127"/>
        <item x="8"/>
        <item x="45"/>
        <item x="69"/>
        <item x="139"/>
        <item x="123"/>
        <item x="75"/>
        <item x="104"/>
        <item x="126"/>
        <item x="161"/>
        <item x="103"/>
        <item x="12"/>
        <item x="52"/>
        <item x="76"/>
        <item x="37"/>
        <item x="96"/>
        <item x="148"/>
        <item x="122"/>
        <item x="20"/>
        <item x="92"/>
        <item x="60"/>
        <item x="166"/>
        <item x="91"/>
        <item x="131"/>
        <item x="22"/>
        <item x="71"/>
        <item x="150"/>
        <item x="125"/>
        <item x="21"/>
        <item x="56"/>
        <item x="116"/>
        <item x="77"/>
        <item x="136"/>
        <item x="68"/>
        <item x="144"/>
        <item x="0"/>
        <item x="16"/>
        <item x="115"/>
        <item x="80"/>
        <item x="46"/>
        <item x="120"/>
        <item x="15"/>
        <item x="24"/>
        <item x="132"/>
        <item x="31"/>
        <item x="155"/>
        <item x="39"/>
        <item x="59"/>
        <item x="152"/>
        <item x="3"/>
        <item x="171"/>
        <item x="133"/>
        <item x="29"/>
        <item x="181"/>
        <item x="66"/>
        <item x="99"/>
        <item x="18"/>
        <item x="1"/>
        <item x="61"/>
        <item x="13"/>
        <item x="26"/>
        <item x="143"/>
        <item x="84"/>
        <item x="82"/>
        <item x="53"/>
        <item x="17"/>
        <item x="70"/>
        <item x="7"/>
        <item x="54"/>
        <item x="175"/>
        <item x="85"/>
        <item x="114"/>
        <item x="86"/>
        <item x="44"/>
        <item x="112"/>
        <item x="35"/>
        <item x="67"/>
        <item x="50"/>
        <item x="108"/>
        <item t="default"/>
      </items>
    </pivotField>
    <pivotField showAll="0"/>
    <pivotField showAll="0">
      <items count="7">
        <item x="5"/>
        <item x="4"/>
        <item x="3"/>
        <item x="2"/>
        <item x="0"/>
        <item x="1"/>
        <item t="default"/>
      </items>
    </pivotField>
    <pivotField axis="axisRow" showAll="0" sortType="ascending">
      <items count="12">
        <item x="7"/>
        <item x="9"/>
        <item x="6"/>
        <item x="4"/>
        <item x="3"/>
        <item x="10"/>
        <item x="1"/>
        <item x="0"/>
        <item x="2"/>
        <item x="5"/>
        <item x="8"/>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2">
    <i>
      <x v="5"/>
    </i>
    <i>
      <x v="7"/>
    </i>
    <i>
      <x v="2"/>
    </i>
    <i>
      <x v="3"/>
    </i>
    <i>
      <x v="10"/>
    </i>
    <i>
      <x/>
    </i>
    <i>
      <x v="1"/>
    </i>
    <i>
      <x v="8"/>
    </i>
    <i>
      <x v="6"/>
    </i>
    <i>
      <x v="9"/>
    </i>
    <i>
      <x v="4"/>
    </i>
    <i t="grand">
      <x/>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D741F1-47ED-4DFF-903E-F88DD08C256F}"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Customer" tableColumnId="3"/>
      <queryTableField id="4" name="Region" tableColumnId="4"/>
      <queryTableField id="5" name="Product" tableColumnId="5"/>
      <queryTableField id="6" name="Category" tableColumnId="6"/>
      <queryTableField id="7" name="Quantity" tableColumnId="7"/>
      <queryTableField id="8" name="Unit Price" tableColumnId="8"/>
      <queryTableField id="9" name="Sa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17EC32-EFB7-4F16-A5D8-E0313030CF2E}" sourceName="Region">
  <pivotTables>
    <pivotTable tabId="5" name="PivotTable2"/>
    <pivotTable tabId="4" name="PivotTable1"/>
    <pivotTable tabId="6" name="PivotTable3"/>
    <pivotTable tabId="8" name="PivotTable5"/>
  </pivotTables>
  <data>
    <tabular pivotCacheId="1194295853">
      <items count="6">
        <i x="5" s="1"/>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CBC83B-260D-42D5-8620-F3B98FD13075}" sourceName="Category">
  <pivotTables>
    <pivotTable tabId="6" name="PivotTable3"/>
    <pivotTable tabId="4" name="PivotTable1"/>
    <pivotTable tabId="5" name="PivotTable2"/>
    <pivotTable tabId="8" name="PivotTable5"/>
  </pivotTables>
  <data>
    <tabular pivotCacheId="1194295853">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B2BF820-A26C-4503-B8E9-00E884B73B4F}" sourceName="Product">
  <pivotTables>
    <pivotTable tabId="4" name="PivotTable1"/>
    <pivotTable tabId="5" name="PivotTable2"/>
    <pivotTable tabId="6" name="PivotTable3"/>
    <pivotTable tabId="8" name="PivotTable5"/>
  </pivotTables>
  <data>
    <tabular pivotCacheId="1194295853">
      <items count="11">
        <i x="7" s="1"/>
        <i x="9" s="1"/>
        <i x="6" s="1"/>
        <i x="4" s="1"/>
        <i x="3" s="1"/>
        <i x="10" s="1"/>
        <i x="1" s="1"/>
        <i x="0" s="1"/>
        <i x="2"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91C190-067C-4E12-9AA7-91390FE5EAD9}" cache="Slicer_Region" caption="Region" startItem="4" rowHeight="241300"/>
  <slicer name="Category" xr10:uid="{D3FF16D1-CDF8-40D7-808A-7EE003BD9878}" cache="Slicer_Category" caption="Category" rowHeight="241300"/>
  <slicer name="Product" xr10:uid="{2F0BE159-27C6-445B-9FC5-54A070B3A0EC}" cache="Slicer_Product" caption="Product" startItem="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1DD31C-992F-4AB2-AACD-BEFF2E8C3A1F}" name="Table1_1" displayName="Table1_1" ref="A1:I1001" tableType="queryTable" totalsRowShown="0">
  <autoFilter ref="A1:I1001" xr:uid="{E21DD31C-992F-4AB2-AACD-BEFF2E8C3A1F}"/>
  <tableColumns count="9">
    <tableColumn id="1" xr3:uid="{AC2E40FF-2DC1-46A7-AD1D-871419109940}" uniqueName="1" name="Order ID" queryTableFieldId="1"/>
    <tableColumn id="2" xr3:uid="{EEB9A96D-5EA0-4579-AC89-47F5434EFE38}" uniqueName="2" name="Order Date" queryTableFieldId="2" dataDxfId="3"/>
    <tableColumn id="3" xr3:uid="{4BBC0A17-9E7A-422F-A247-B93A06E23B0A}" uniqueName="3" name="Customer" queryTableFieldId="3" dataDxfId="2"/>
    <tableColumn id="4" xr3:uid="{8797950A-A87F-4AC3-949B-E5620F10BFE6}" uniqueName="4" name="Region" queryTableFieldId="4" dataDxfId="1"/>
    <tableColumn id="5" xr3:uid="{947E1E91-4040-41BD-939E-F8133884DCC2}" uniqueName="5" name="Product" queryTableFieldId="5"/>
    <tableColumn id="6" xr3:uid="{B271ED06-DCCE-417E-9C34-9FD29B2FCB6E}" uniqueName="6" name="Category" queryTableFieldId="6"/>
    <tableColumn id="7" xr3:uid="{ADCA598A-2E1E-4584-BE6C-55A8362CC5E0}" uniqueName="7" name="Quantity" queryTableFieldId="7" dataDxfId="0"/>
    <tableColumn id="8" xr3:uid="{0A792826-DEB8-4816-9690-0C74A638016E}" uniqueName="8" name="Unit Price" queryTableFieldId="8"/>
    <tableColumn id="9" xr3:uid="{E531216F-0F79-4301-922F-8A73F3FF09AA}" uniqueName="9" name="Sales"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728DBD-564F-4CF8-B6F7-0C585AEE9280}" name="Table1" displayName="Table1" ref="A1:I1004" totalsRowShown="0" headerRowDxfId="4" headerRowBorderDxfId="6" tableBorderDxfId="7">
  <autoFilter ref="A1:I1004" xr:uid="{34728DBD-564F-4CF8-B6F7-0C585AEE9280}"/>
  <tableColumns count="9">
    <tableColumn id="1" xr3:uid="{5B9367AD-FCB5-42DA-A834-81C881A25B30}" name="Order ID"/>
    <tableColumn id="2" xr3:uid="{B75CF34A-4AFC-4641-AD65-4223EFF2BE3E}" name="Order Date" dataDxfId="5"/>
    <tableColumn id="3" xr3:uid="{0598914B-FDC1-4EA6-82E5-44BD0652594F}" name="Customer"/>
    <tableColumn id="4" xr3:uid="{CD270478-EA5A-4C7A-960E-AC51EED4B4D9}" name="Region"/>
    <tableColumn id="5" xr3:uid="{F81135E8-A038-42FD-AB34-119FBF427BDD}" name="Product"/>
    <tableColumn id="6" xr3:uid="{AD38A83D-A53F-43EB-9BCE-AB924D82E522}" name="Category"/>
    <tableColumn id="7" xr3:uid="{C831D82D-F466-4AB0-AD96-326791AE08DB}" name="Quantity"/>
    <tableColumn id="8" xr3:uid="{0F92F51D-1178-45BF-BF43-F90B61AC0CD6}" name="Unit Price"/>
    <tableColumn id="9" xr3:uid="{26618E3C-1D1A-4396-9F66-3502796D84D3}" name="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94E3-88EE-4F30-A930-18B94491F589}">
  <dimension ref="B1:L7"/>
  <sheetViews>
    <sheetView tabSelected="1" zoomScale="90" zoomScaleNormal="90" workbookViewId="0">
      <selection activeCell="P17" sqref="P17"/>
    </sheetView>
  </sheetViews>
  <sheetFormatPr defaultRowHeight="14.5" x14ac:dyDescent="0.35"/>
  <cols>
    <col min="2" max="2" width="17.36328125" bestFit="1" customWidth="1"/>
    <col min="3" max="3" width="9.81640625" bestFit="1" customWidth="1"/>
    <col min="4" max="4" width="11.1796875" bestFit="1" customWidth="1"/>
    <col min="5" max="5" width="9.54296875" customWidth="1"/>
    <col min="6" max="6" width="12.6328125" bestFit="1" customWidth="1"/>
  </cols>
  <sheetData>
    <row r="1" spans="2:12" ht="18.5" x14ac:dyDescent="0.45">
      <c r="H1" s="9" t="s">
        <v>1062</v>
      </c>
      <c r="I1" s="9"/>
      <c r="J1" s="9"/>
      <c r="K1" s="9"/>
      <c r="L1" s="9"/>
    </row>
    <row r="3" spans="2:12" x14ac:dyDescent="0.35">
      <c r="B3" s="10" t="s">
        <v>1048</v>
      </c>
      <c r="D3" s="10" t="s">
        <v>1049</v>
      </c>
      <c r="F3" s="10" t="s">
        <v>1050</v>
      </c>
      <c r="H3" s="12" t="s">
        <v>1063</v>
      </c>
      <c r="I3" s="12"/>
      <c r="J3" s="12"/>
    </row>
    <row r="4" spans="2:12" x14ac:dyDescent="0.35">
      <c r="B4" s="13">
        <f>Analysis!C4</f>
        <v>117000400</v>
      </c>
      <c r="D4" s="10">
        <f>Analysis!D4</f>
        <v>1001</v>
      </c>
      <c r="F4" s="13">
        <f>Analysis!E4</f>
        <v>4470</v>
      </c>
      <c r="H4" s="14">
        <f>Analysis!F4</f>
        <v>116882.51648351649</v>
      </c>
      <c r="I4" s="14"/>
      <c r="J4" s="14"/>
    </row>
    <row r="7" spans="2:12" x14ac:dyDescent="0.35">
      <c r="E7" s="11"/>
    </row>
  </sheetData>
  <mergeCells count="2">
    <mergeCell ref="H3:J3"/>
    <mergeCell ref="H4:J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6554-D106-4542-917B-CCF4EFCB49C6}">
  <dimension ref="A3:B8"/>
  <sheetViews>
    <sheetView workbookViewId="0">
      <selection activeCell="M10" sqref="M10"/>
    </sheetView>
  </sheetViews>
  <sheetFormatPr defaultRowHeight="14.5" x14ac:dyDescent="0.35"/>
  <cols>
    <col min="1" max="1" width="15.36328125" bestFit="1" customWidth="1"/>
    <col min="2" max="2" width="11.26953125" bestFit="1" customWidth="1"/>
  </cols>
  <sheetData>
    <row r="3" spans="1:2" x14ac:dyDescent="0.35">
      <c r="A3" s="7" t="s">
        <v>1052</v>
      </c>
      <c r="B3" t="s">
        <v>1054</v>
      </c>
    </row>
    <row r="4" spans="1:2" x14ac:dyDescent="0.35">
      <c r="A4" s="8" t="s">
        <v>13</v>
      </c>
      <c r="B4" s="3">
        <v>9844200</v>
      </c>
    </row>
    <row r="5" spans="1:2" x14ac:dyDescent="0.35">
      <c r="A5" s="8" t="s">
        <v>18</v>
      </c>
      <c r="B5" s="3">
        <v>71926900</v>
      </c>
    </row>
    <row r="6" spans="1:2" x14ac:dyDescent="0.35">
      <c r="A6" s="8" t="s">
        <v>55</v>
      </c>
      <c r="B6" s="3">
        <v>22833800</v>
      </c>
    </row>
    <row r="7" spans="1:2" x14ac:dyDescent="0.35">
      <c r="A7" s="8" t="s">
        <v>22</v>
      </c>
      <c r="B7" s="3">
        <v>12395500</v>
      </c>
    </row>
    <row r="8" spans="1:2" x14ac:dyDescent="0.35">
      <c r="A8" s="8" t="s">
        <v>1053</v>
      </c>
      <c r="B8" s="3">
        <v>117000400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6FA8-5D29-4506-8604-ADB3FBC7E042}">
  <dimension ref="A3:B10"/>
  <sheetViews>
    <sheetView workbookViewId="0">
      <selection activeCell="L9" sqref="L9"/>
    </sheetView>
  </sheetViews>
  <sheetFormatPr defaultRowHeight="14.5" x14ac:dyDescent="0.35"/>
  <cols>
    <col min="1" max="1" width="12.36328125" bestFit="1" customWidth="1"/>
    <col min="2" max="2" width="11.26953125" bestFit="1" customWidth="1"/>
  </cols>
  <sheetData>
    <row r="3" spans="1:2" x14ac:dyDescent="0.35">
      <c r="A3" s="7" t="s">
        <v>1052</v>
      </c>
      <c r="B3" t="s">
        <v>1054</v>
      </c>
    </row>
    <row r="4" spans="1:2" x14ac:dyDescent="0.35">
      <c r="A4" s="8" t="s">
        <v>74</v>
      </c>
      <c r="B4" s="3">
        <v>19589100</v>
      </c>
    </row>
    <row r="5" spans="1:2" x14ac:dyDescent="0.35">
      <c r="A5" s="8" t="s">
        <v>49</v>
      </c>
      <c r="B5" s="3">
        <v>18761300</v>
      </c>
    </row>
    <row r="6" spans="1:2" x14ac:dyDescent="0.35">
      <c r="A6" s="8" t="s">
        <v>36</v>
      </c>
      <c r="B6" s="3">
        <v>21707100</v>
      </c>
    </row>
    <row r="7" spans="1:2" x14ac:dyDescent="0.35">
      <c r="A7" s="8" t="s">
        <v>25</v>
      </c>
      <c r="B7" s="3">
        <v>19790800</v>
      </c>
    </row>
    <row r="8" spans="1:2" x14ac:dyDescent="0.35">
      <c r="A8" s="8" t="s">
        <v>11</v>
      </c>
      <c r="B8" s="3">
        <v>17948600</v>
      </c>
    </row>
    <row r="9" spans="1:2" x14ac:dyDescent="0.35">
      <c r="A9" s="8" t="s">
        <v>16</v>
      </c>
      <c r="B9" s="3">
        <v>19203500</v>
      </c>
    </row>
    <row r="10" spans="1:2" x14ac:dyDescent="0.35">
      <c r="A10" s="8" t="s">
        <v>1053</v>
      </c>
      <c r="B10" s="3">
        <v>117000400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D43D-EA15-49EE-A980-609E75192091}">
  <dimension ref="A3:B11"/>
  <sheetViews>
    <sheetView workbookViewId="0">
      <selection activeCell="B6" sqref="B6"/>
    </sheetView>
  </sheetViews>
  <sheetFormatPr defaultRowHeight="14.5" x14ac:dyDescent="0.35"/>
  <cols>
    <col min="1" max="1" width="12.36328125" bestFit="1" customWidth="1"/>
    <col min="2" max="2" width="11.26953125" bestFit="1" customWidth="1"/>
  </cols>
  <sheetData>
    <row r="3" spans="1:2" x14ac:dyDescent="0.35">
      <c r="A3" s="7" t="s">
        <v>1052</v>
      </c>
      <c r="B3" t="s">
        <v>1054</v>
      </c>
    </row>
    <row r="4" spans="1:2" x14ac:dyDescent="0.35">
      <c r="A4" s="8" t="s">
        <v>1055</v>
      </c>
      <c r="B4" s="3">
        <v>16154500</v>
      </c>
    </row>
    <row r="5" spans="1:2" x14ac:dyDescent="0.35">
      <c r="A5" s="8" t="s">
        <v>1056</v>
      </c>
      <c r="B5" s="3">
        <v>16172300</v>
      </c>
    </row>
    <row r="6" spans="1:2" x14ac:dyDescent="0.35">
      <c r="A6" s="8" t="s">
        <v>1057</v>
      </c>
      <c r="B6" s="3">
        <v>19777600</v>
      </c>
    </row>
    <row r="7" spans="1:2" x14ac:dyDescent="0.35">
      <c r="A7" s="8" t="s">
        <v>1058</v>
      </c>
      <c r="B7" s="3">
        <v>20407200</v>
      </c>
    </row>
    <row r="8" spans="1:2" x14ac:dyDescent="0.35">
      <c r="A8" s="8" t="s">
        <v>1059</v>
      </c>
      <c r="B8" s="3">
        <v>21700000</v>
      </c>
    </row>
    <row r="9" spans="1:2" x14ac:dyDescent="0.35">
      <c r="A9" s="8" t="s">
        <v>1060</v>
      </c>
      <c r="B9" s="3">
        <v>22364400</v>
      </c>
    </row>
    <row r="10" spans="1:2" x14ac:dyDescent="0.35">
      <c r="A10" s="8" t="s">
        <v>1061</v>
      </c>
      <c r="B10" s="3">
        <v>424400</v>
      </c>
    </row>
    <row r="11" spans="1:2" x14ac:dyDescent="0.35">
      <c r="A11" s="8" t="s">
        <v>1053</v>
      </c>
      <c r="B11" s="3">
        <v>117000400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19AA-B203-411A-A99A-162EBBED9588}">
  <dimension ref="A3:B15"/>
  <sheetViews>
    <sheetView workbookViewId="0">
      <selection activeCell="M17" sqref="M17"/>
    </sheetView>
  </sheetViews>
  <sheetFormatPr defaultRowHeight="14.5" x14ac:dyDescent="0.35"/>
  <cols>
    <col min="1" max="1" width="12.36328125" bestFit="1" customWidth="1"/>
    <col min="2" max="2" width="11.26953125" bestFit="1" customWidth="1"/>
  </cols>
  <sheetData>
    <row r="3" spans="1:2" x14ac:dyDescent="0.35">
      <c r="A3" s="7" t="s">
        <v>1052</v>
      </c>
      <c r="B3" t="s">
        <v>1054</v>
      </c>
    </row>
    <row r="4" spans="1:2" x14ac:dyDescent="0.35">
      <c r="A4" s="8" t="s">
        <v>543</v>
      </c>
      <c r="B4" s="3">
        <v>30500</v>
      </c>
    </row>
    <row r="5" spans="1:2" x14ac:dyDescent="0.35">
      <c r="A5" s="8" t="s">
        <v>12</v>
      </c>
      <c r="B5" s="3">
        <v>1248000</v>
      </c>
    </row>
    <row r="6" spans="1:2" x14ac:dyDescent="0.35">
      <c r="A6" s="8" t="s">
        <v>40</v>
      </c>
      <c r="B6" s="3">
        <v>2465000</v>
      </c>
    </row>
    <row r="7" spans="1:2" x14ac:dyDescent="0.35">
      <c r="A7" s="8" t="s">
        <v>32</v>
      </c>
      <c r="B7" s="3">
        <v>2531400</v>
      </c>
    </row>
    <row r="8" spans="1:2" x14ac:dyDescent="0.35">
      <c r="A8" s="8" t="s">
        <v>61</v>
      </c>
      <c r="B8" s="3">
        <v>3569300</v>
      </c>
    </row>
    <row r="9" spans="1:2" x14ac:dyDescent="0.35">
      <c r="A9" s="8" t="s">
        <v>54</v>
      </c>
      <c r="B9" s="3">
        <v>10517300</v>
      </c>
    </row>
    <row r="10" spans="1:2" x14ac:dyDescent="0.35">
      <c r="A10" s="8" t="s">
        <v>63</v>
      </c>
      <c r="B10" s="3">
        <v>12316500</v>
      </c>
    </row>
    <row r="11" spans="1:2" x14ac:dyDescent="0.35">
      <c r="A11" s="8" t="s">
        <v>21</v>
      </c>
      <c r="B11" s="3">
        <v>12395500</v>
      </c>
    </row>
    <row r="12" spans="1:2" x14ac:dyDescent="0.35">
      <c r="A12" s="8" t="s">
        <v>17</v>
      </c>
      <c r="B12" s="3">
        <v>14254500</v>
      </c>
    </row>
    <row r="13" spans="1:2" x14ac:dyDescent="0.35">
      <c r="A13" s="8" t="s">
        <v>37</v>
      </c>
      <c r="B13" s="3">
        <v>24041200</v>
      </c>
    </row>
    <row r="14" spans="1:2" x14ac:dyDescent="0.35">
      <c r="A14" s="8" t="s">
        <v>26</v>
      </c>
      <c r="B14" s="3">
        <v>33631200</v>
      </c>
    </row>
    <row r="15" spans="1:2" x14ac:dyDescent="0.35">
      <c r="A15" s="8" t="s">
        <v>1053</v>
      </c>
      <c r="B15" s="3">
        <v>117000400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42D1-E033-4697-8FD7-43F2AACA779E}">
  <dimension ref="A1:I1001"/>
  <sheetViews>
    <sheetView topLeftCell="A2" workbookViewId="0">
      <selection activeCell="F10" sqref="F10"/>
    </sheetView>
  </sheetViews>
  <sheetFormatPr defaultRowHeight="14.5" x14ac:dyDescent="0.35"/>
  <cols>
    <col min="1" max="1" width="10.26953125" bestFit="1" customWidth="1"/>
    <col min="2" max="2" width="12.453125" bestFit="1" customWidth="1"/>
    <col min="3" max="3" width="17.08984375" bestFit="1" customWidth="1"/>
    <col min="4" max="4" width="10" bestFit="1" customWidth="1"/>
    <col min="5" max="5" width="11.36328125" bestFit="1" customWidth="1"/>
    <col min="6" max="6" width="15.36328125" bestFit="1" customWidth="1"/>
    <col min="7" max="7" width="10.453125" bestFit="1" customWidth="1"/>
    <col min="8" max="8" width="11.1796875" bestFit="1" customWidth="1"/>
    <col min="9" max="9" width="7.26953125" bestFit="1" customWidth="1"/>
  </cols>
  <sheetData>
    <row r="1" spans="1:9" x14ac:dyDescent="0.35">
      <c r="A1" t="s">
        <v>0</v>
      </c>
      <c r="B1" t="s">
        <v>1</v>
      </c>
      <c r="C1" t="s">
        <v>2</v>
      </c>
      <c r="D1" t="s">
        <v>3</v>
      </c>
      <c r="E1" t="s">
        <v>4</v>
      </c>
      <c r="F1" t="s">
        <v>5</v>
      </c>
      <c r="G1" t="s">
        <v>6</v>
      </c>
      <c r="H1" t="s">
        <v>7</v>
      </c>
      <c r="I1" t="s">
        <v>8</v>
      </c>
    </row>
    <row r="2" spans="1:9" x14ac:dyDescent="0.35">
      <c r="A2" t="s">
        <v>9</v>
      </c>
      <c r="B2" s="4">
        <v>46161</v>
      </c>
      <c r="C2" s="3" t="s">
        <v>10</v>
      </c>
      <c r="D2" s="3" t="s">
        <v>11</v>
      </c>
      <c r="E2" t="s">
        <v>12</v>
      </c>
      <c r="F2" t="s">
        <v>13</v>
      </c>
      <c r="G2" s="3">
        <v>7</v>
      </c>
      <c r="H2">
        <v>2600</v>
      </c>
      <c r="I2">
        <v>18200</v>
      </c>
    </row>
    <row r="3" spans="1:9" x14ac:dyDescent="0.35">
      <c r="A3" t="s">
        <v>14</v>
      </c>
      <c r="B3" s="4">
        <v>46183</v>
      </c>
      <c r="C3" s="3" t="s">
        <v>15</v>
      </c>
      <c r="D3" s="3" t="s">
        <v>16</v>
      </c>
      <c r="E3" t="s">
        <v>17</v>
      </c>
      <c r="F3" t="s">
        <v>18</v>
      </c>
      <c r="G3" s="3">
        <v>5</v>
      </c>
      <c r="H3">
        <v>38400</v>
      </c>
      <c r="I3">
        <v>192000</v>
      </c>
    </row>
    <row r="4" spans="1:9" x14ac:dyDescent="0.35">
      <c r="A4" t="s">
        <v>19</v>
      </c>
      <c r="B4" s="4">
        <v>46072</v>
      </c>
      <c r="C4" s="3" t="s">
        <v>20</v>
      </c>
      <c r="D4" s="3" t="s">
        <v>16</v>
      </c>
      <c r="E4" t="s">
        <v>21</v>
      </c>
      <c r="F4" t="s">
        <v>22</v>
      </c>
      <c r="G4" s="3">
        <v>5</v>
      </c>
      <c r="H4">
        <v>25700</v>
      </c>
      <c r="I4">
        <v>128500</v>
      </c>
    </row>
    <row r="5" spans="1:9" x14ac:dyDescent="0.35">
      <c r="A5" t="s">
        <v>23</v>
      </c>
      <c r="B5" s="4">
        <v>46175</v>
      </c>
      <c r="C5" s="3" t="s">
        <v>24</v>
      </c>
      <c r="D5" s="3" t="s">
        <v>25</v>
      </c>
      <c r="E5" t="s">
        <v>26</v>
      </c>
      <c r="F5" t="s">
        <v>18</v>
      </c>
      <c r="G5" s="3">
        <v>6</v>
      </c>
      <c r="H5">
        <v>85800</v>
      </c>
      <c r="I5">
        <v>514800</v>
      </c>
    </row>
    <row r="6" spans="1:9" x14ac:dyDescent="0.35">
      <c r="A6" t="s">
        <v>27</v>
      </c>
      <c r="B6" s="4">
        <v>46112</v>
      </c>
      <c r="C6" s="3" t="s">
        <v>24</v>
      </c>
      <c r="D6" s="3" t="s">
        <v>11</v>
      </c>
      <c r="E6" t="s">
        <v>12</v>
      </c>
      <c r="F6" t="s">
        <v>13</v>
      </c>
      <c r="G6" s="3">
        <v>8</v>
      </c>
      <c r="H6">
        <v>2400</v>
      </c>
      <c r="I6">
        <v>19200</v>
      </c>
    </row>
    <row r="7" spans="1:9" x14ac:dyDescent="0.35">
      <c r="A7" t="s">
        <v>28</v>
      </c>
      <c r="B7" s="4">
        <v>46097</v>
      </c>
      <c r="C7" s="3" t="s">
        <v>29</v>
      </c>
      <c r="D7" s="3" t="s">
        <v>11</v>
      </c>
      <c r="E7" t="s">
        <v>12</v>
      </c>
      <c r="F7" t="s">
        <v>13</v>
      </c>
      <c r="G7" s="3">
        <v>2</v>
      </c>
      <c r="H7">
        <v>2300</v>
      </c>
      <c r="I7">
        <v>4600</v>
      </c>
    </row>
    <row r="8" spans="1:9" x14ac:dyDescent="0.35">
      <c r="A8" t="s">
        <v>30</v>
      </c>
      <c r="B8" s="4">
        <v>46074</v>
      </c>
      <c r="C8" s="3" t="s">
        <v>31</v>
      </c>
      <c r="D8" s="3" t="s">
        <v>25</v>
      </c>
      <c r="E8" t="s">
        <v>32</v>
      </c>
      <c r="F8" t="s">
        <v>13</v>
      </c>
      <c r="G8" s="3">
        <v>4</v>
      </c>
      <c r="H8">
        <v>5000</v>
      </c>
      <c r="I8">
        <v>20000</v>
      </c>
    </row>
    <row r="9" spans="1:9" x14ac:dyDescent="0.35">
      <c r="A9" t="s">
        <v>33</v>
      </c>
      <c r="B9" s="4">
        <v>46193</v>
      </c>
      <c r="C9" s="3" t="s">
        <v>34</v>
      </c>
      <c r="D9" s="3" t="s">
        <v>25</v>
      </c>
      <c r="E9" t="s">
        <v>21</v>
      </c>
      <c r="F9" t="s">
        <v>22</v>
      </c>
      <c r="G9" s="3">
        <v>5</v>
      </c>
      <c r="H9">
        <v>24500</v>
      </c>
      <c r="I9">
        <v>122500</v>
      </c>
    </row>
    <row r="10" spans="1:9" x14ac:dyDescent="0.35">
      <c r="A10" t="s">
        <v>35</v>
      </c>
      <c r="B10" s="4">
        <v>46127</v>
      </c>
      <c r="C10" s="3" t="s">
        <v>15</v>
      </c>
      <c r="D10" s="3" t="s">
        <v>36</v>
      </c>
      <c r="E10" t="s">
        <v>37</v>
      </c>
      <c r="F10" t="s">
        <v>18</v>
      </c>
      <c r="G10" s="3">
        <v>8</v>
      </c>
      <c r="H10">
        <v>55400</v>
      </c>
      <c r="I10">
        <v>443200</v>
      </c>
    </row>
    <row r="11" spans="1:9" x14ac:dyDescent="0.35">
      <c r="A11" t="s">
        <v>38</v>
      </c>
      <c r="B11" s="4">
        <v>46094</v>
      </c>
      <c r="C11" s="3" t="s">
        <v>39</v>
      </c>
      <c r="D11" s="3" t="s">
        <v>11</v>
      </c>
      <c r="E11" t="s">
        <v>40</v>
      </c>
      <c r="F11" t="s">
        <v>13</v>
      </c>
      <c r="G11" s="3">
        <v>2</v>
      </c>
      <c r="H11">
        <v>7400</v>
      </c>
      <c r="I11">
        <v>14800</v>
      </c>
    </row>
    <row r="12" spans="1:9" x14ac:dyDescent="0.35">
      <c r="A12" t="s">
        <v>41</v>
      </c>
      <c r="B12" s="4">
        <v>46057</v>
      </c>
      <c r="C12" s="3" t="s">
        <v>34</v>
      </c>
      <c r="D12" s="3" t="s">
        <v>11</v>
      </c>
      <c r="E12" t="s">
        <v>37</v>
      </c>
      <c r="F12" t="s">
        <v>18</v>
      </c>
      <c r="G12" s="3">
        <v>5</v>
      </c>
      <c r="H12">
        <v>60600</v>
      </c>
      <c r="I12">
        <v>303000</v>
      </c>
    </row>
    <row r="13" spans="1:9" x14ac:dyDescent="0.35">
      <c r="A13" t="s">
        <v>42</v>
      </c>
      <c r="B13" s="4">
        <v>46036</v>
      </c>
      <c r="C13" s="3" t="s">
        <v>29</v>
      </c>
      <c r="D13" s="3" t="s">
        <v>16</v>
      </c>
      <c r="E13" t="s">
        <v>26</v>
      </c>
      <c r="F13" t="s">
        <v>18</v>
      </c>
      <c r="G13" s="3">
        <v>4</v>
      </c>
      <c r="H13">
        <v>88500</v>
      </c>
      <c r="I13">
        <v>354000</v>
      </c>
    </row>
    <row r="14" spans="1:9" x14ac:dyDescent="0.35">
      <c r="A14" t="s">
        <v>43</v>
      </c>
      <c r="B14" s="4">
        <v>46137</v>
      </c>
      <c r="C14" s="3" t="s">
        <v>44</v>
      </c>
      <c r="D14" s="3" t="s">
        <v>25</v>
      </c>
      <c r="E14" t="s">
        <v>32</v>
      </c>
      <c r="F14" t="s">
        <v>13</v>
      </c>
      <c r="G14" s="3">
        <v>2</v>
      </c>
      <c r="H14">
        <v>4800</v>
      </c>
      <c r="I14">
        <v>9600</v>
      </c>
    </row>
    <row r="15" spans="1:9" x14ac:dyDescent="0.35">
      <c r="A15" t="s">
        <v>45</v>
      </c>
      <c r="B15" s="4">
        <v>46185</v>
      </c>
      <c r="C15" s="3" t="s">
        <v>46</v>
      </c>
      <c r="D15" s="3" t="s">
        <v>11</v>
      </c>
      <c r="E15" t="s">
        <v>32</v>
      </c>
      <c r="F15" t="s">
        <v>13</v>
      </c>
      <c r="G15" s="3">
        <v>7</v>
      </c>
      <c r="H15">
        <v>4800</v>
      </c>
      <c r="I15">
        <v>33600</v>
      </c>
    </row>
    <row r="16" spans="1:9" x14ac:dyDescent="0.35">
      <c r="A16" t="s">
        <v>47</v>
      </c>
      <c r="B16" s="4">
        <v>46125</v>
      </c>
      <c r="C16" s="3" t="s">
        <v>24</v>
      </c>
      <c r="D16" s="3" t="s">
        <v>36</v>
      </c>
      <c r="E16" t="s">
        <v>17</v>
      </c>
      <c r="F16" t="s">
        <v>18</v>
      </c>
      <c r="G16" s="3">
        <v>4</v>
      </c>
      <c r="H16">
        <v>34300</v>
      </c>
      <c r="I16">
        <v>137200</v>
      </c>
    </row>
    <row r="17" spans="1:9" x14ac:dyDescent="0.35">
      <c r="A17" t="s">
        <v>48</v>
      </c>
      <c r="B17" s="4">
        <v>46167</v>
      </c>
      <c r="C17" s="3" t="s">
        <v>46</v>
      </c>
      <c r="D17" s="3" t="s">
        <v>49</v>
      </c>
      <c r="E17" t="s">
        <v>40</v>
      </c>
      <c r="F17" t="s">
        <v>13</v>
      </c>
      <c r="G17" s="3">
        <v>1</v>
      </c>
      <c r="H17">
        <v>6100</v>
      </c>
      <c r="I17">
        <v>6100</v>
      </c>
    </row>
    <row r="18" spans="1:9" x14ac:dyDescent="0.35">
      <c r="A18" t="s">
        <v>50</v>
      </c>
      <c r="B18" s="4">
        <v>46162</v>
      </c>
      <c r="C18" s="3" t="s">
        <v>51</v>
      </c>
      <c r="D18" s="3" t="s">
        <v>49</v>
      </c>
      <c r="E18" t="s">
        <v>17</v>
      </c>
      <c r="F18" t="s">
        <v>18</v>
      </c>
      <c r="G18" s="3">
        <v>5</v>
      </c>
      <c r="H18">
        <v>36000</v>
      </c>
      <c r="I18">
        <v>180000</v>
      </c>
    </row>
    <row r="19" spans="1:9" x14ac:dyDescent="0.35">
      <c r="A19" t="s">
        <v>52</v>
      </c>
      <c r="B19" s="4">
        <v>46191</v>
      </c>
      <c r="C19" s="3" t="s">
        <v>39</v>
      </c>
      <c r="D19" s="3" t="s">
        <v>36</v>
      </c>
      <c r="E19" t="s">
        <v>37</v>
      </c>
      <c r="F19" t="s">
        <v>18</v>
      </c>
      <c r="G19" s="3">
        <v>5</v>
      </c>
      <c r="H19">
        <v>57700</v>
      </c>
      <c r="I19">
        <v>288500</v>
      </c>
    </row>
    <row r="20" spans="1:9" x14ac:dyDescent="0.35">
      <c r="A20" t="s">
        <v>53</v>
      </c>
      <c r="B20" s="4">
        <v>46162</v>
      </c>
      <c r="C20" s="3" t="s">
        <v>20</v>
      </c>
      <c r="D20" s="3" t="s">
        <v>49</v>
      </c>
      <c r="E20" t="s">
        <v>54</v>
      </c>
      <c r="F20" t="s">
        <v>55</v>
      </c>
      <c r="G20" s="3">
        <v>7</v>
      </c>
      <c r="H20">
        <v>25200</v>
      </c>
      <c r="I20">
        <v>176400</v>
      </c>
    </row>
    <row r="21" spans="1:9" x14ac:dyDescent="0.35">
      <c r="A21" t="s">
        <v>56</v>
      </c>
      <c r="B21" s="4">
        <v>46182</v>
      </c>
      <c r="C21" s="3" t="s">
        <v>24</v>
      </c>
      <c r="D21" s="3" t="s">
        <v>36</v>
      </c>
      <c r="E21" t="s">
        <v>32</v>
      </c>
      <c r="F21" t="s">
        <v>13</v>
      </c>
      <c r="G21" s="3">
        <v>8</v>
      </c>
      <c r="H21">
        <v>5100</v>
      </c>
      <c r="I21">
        <v>40800</v>
      </c>
    </row>
    <row r="22" spans="1:9" x14ac:dyDescent="0.35">
      <c r="A22" t="s">
        <v>57</v>
      </c>
      <c r="B22" s="4">
        <v>46036</v>
      </c>
      <c r="C22" s="3" t="s">
        <v>31</v>
      </c>
      <c r="D22" s="3" t="s">
        <v>11</v>
      </c>
      <c r="E22" t="s">
        <v>37</v>
      </c>
      <c r="F22" t="s">
        <v>18</v>
      </c>
      <c r="G22" s="3">
        <v>6</v>
      </c>
      <c r="H22">
        <v>62700</v>
      </c>
      <c r="I22">
        <v>376200</v>
      </c>
    </row>
    <row r="23" spans="1:9" x14ac:dyDescent="0.35">
      <c r="A23" t="s">
        <v>58</v>
      </c>
      <c r="B23" s="4">
        <v>46067</v>
      </c>
      <c r="C23" s="3" t="s">
        <v>20</v>
      </c>
      <c r="D23" s="3" t="s">
        <v>36</v>
      </c>
      <c r="E23" t="s">
        <v>12</v>
      </c>
      <c r="F23" t="s">
        <v>13</v>
      </c>
      <c r="G23" s="3">
        <v>8</v>
      </c>
      <c r="H23">
        <v>2500</v>
      </c>
      <c r="I23">
        <v>20000</v>
      </c>
    </row>
    <row r="24" spans="1:9" x14ac:dyDescent="0.35">
      <c r="A24" t="s">
        <v>59</v>
      </c>
      <c r="B24" s="4">
        <v>46144</v>
      </c>
      <c r="C24" s="3" t="s">
        <v>20</v>
      </c>
      <c r="D24" s="3" t="s">
        <v>49</v>
      </c>
      <c r="E24" t="s">
        <v>37</v>
      </c>
      <c r="F24" t="s">
        <v>18</v>
      </c>
      <c r="G24" s="3">
        <v>2</v>
      </c>
      <c r="H24">
        <v>59100</v>
      </c>
      <c r="I24">
        <v>118200</v>
      </c>
    </row>
    <row r="25" spans="1:9" x14ac:dyDescent="0.35">
      <c r="A25" t="s">
        <v>60</v>
      </c>
      <c r="B25" s="4">
        <v>46154</v>
      </c>
      <c r="C25" s="3" t="s">
        <v>29</v>
      </c>
      <c r="D25" s="3" t="s">
        <v>49</v>
      </c>
      <c r="E25" t="s">
        <v>61</v>
      </c>
      <c r="F25" t="s">
        <v>13</v>
      </c>
      <c r="G25" s="3">
        <v>7</v>
      </c>
      <c r="H25">
        <v>7500</v>
      </c>
      <c r="I25">
        <v>52500</v>
      </c>
    </row>
    <row r="26" spans="1:9" x14ac:dyDescent="0.35">
      <c r="A26" t="s">
        <v>62</v>
      </c>
      <c r="B26" s="4">
        <v>46150</v>
      </c>
      <c r="C26" s="3" t="s">
        <v>51</v>
      </c>
      <c r="D26" s="3" t="s">
        <v>25</v>
      </c>
      <c r="E26" t="s">
        <v>63</v>
      </c>
      <c r="F26" t="s">
        <v>55</v>
      </c>
      <c r="G26" s="3">
        <v>6</v>
      </c>
      <c r="H26">
        <v>28800</v>
      </c>
      <c r="I26">
        <v>172800</v>
      </c>
    </row>
    <row r="27" spans="1:9" x14ac:dyDescent="0.35">
      <c r="A27" t="s">
        <v>64</v>
      </c>
      <c r="B27" s="4">
        <v>46118</v>
      </c>
      <c r="C27" s="3" t="s">
        <v>65</v>
      </c>
      <c r="D27" s="3" t="s">
        <v>36</v>
      </c>
      <c r="E27" t="s">
        <v>12</v>
      </c>
      <c r="F27" t="s">
        <v>13</v>
      </c>
      <c r="G27" s="3">
        <v>7</v>
      </c>
      <c r="H27">
        <v>2900</v>
      </c>
      <c r="I27">
        <v>20300</v>
      </c>
    </row>
    <row r="28" spans="1:9" x14ac:dyDescent="0.35">
      <c r="A28" t="s">
        <v>66</v>
      </c>
      <c r="B28" s="4">
        <v>46168</v>
      </c>
      <c r="C28" s="3" t="s">
        <v>15</v>
      </c>
      <c r="D28" s="3" t="s">
        <v>36</v>
      </c>
      <c r="E28" t="s">
        <v>40</v>
      </c>
      <c r="F28" t="s">
        <v>13</v>
      </c>
      <c r="G28" s="3">
        <v>1</v>
      </c>
      <c r="H28">
        <v>5500</v>
      </c>
      <c r="I28">
        <v>5500</v>
      </c>
    </row>
    <row r="29" spans="1:9" x14ac:dyDescent="0.35">
      <c r="A29" t="s">
        <v>67</v>
      </c>
      <c r="B29" s="4">
        <v>46054</v>
      </c>
      <c r="C29" s="3" t="s">
        <v>31</v>
      </c>
      <c r="D29" s="3" t="s">
        <v>25</v>
      </c>
      <c r="E29" t="s">
        <v>17</v>
      </c>
      <c r="F29" t="s">
        <v>18</v>
      </c>
      <c r="G29" s="3">
        <v>5</v>
      </c>
      <c r="H29">
        <v>32200</v>
      </c>
      <c r="I29">
        <v>161000</v>
      </c>
    </row>
    <row r="30" spans="1:9" x14ac:dyDescent="0.35">
      <c r="A30" t="s">
        <v>68</v>
      </c>
      <c r="B30" s="4">
        <v>46186</v>
      </c>
      <c r="C30" s="3" t="s">
        <v>10</v>
      </c>
      <c r="D30" s="3" t="s">
        <v>49</v>
      </c>
      <c r="E30" t="s">
        <v>54</v>
      </c>
      <c r="F30" t="s">
        <v>55</v>
      </c>
      <c r="G30" s="3">
        <v>5</v>
      </c>
      <c r="H30">
        <v>23300</v>
      </c>
      <c r="I30">
        <v>116500</v>
      </c>
    </row>
    <row r="31" spans="1:9" x14ac:dyDescent="0.35">
      <c r="A31" t="s">
        <v>69</v>
      </c>
      <c r="B31" s="4">
        <v>46103</v>
      </c>
      <c r="C31" s="3" t="s">
        <v>39</v>
      </c>
      <c r="D31" s="3" t="s">
        <v>11</v>
      </c>
      <c r="E31" t="s">
        <v>17</v>
      </c>
      <c r="F31" t="s">
        <v>18</v>
      </c>
      <c r="G31" s="3">
        <v>3</v>
      </c>
      <c r="H31">
        <v>33400</v>
      </c>
      <c r="I31">
        <v>100200</v>
      </c>
    </row>
    <row r="32" spans="1:9" x14ac:dyDescent="0.35">
      <c r="A32" t="s">
        <v>70</v>
      </c>
      <c r="B32" s="4">
        <v>46086</v>
      </c>
      <c r="C32" s="3" t="s">
        <v>20</v>
      </c>
      <c r="D32" s="3" t="s">
        <v>49</v>
      </c>
      <c r="E32" t="s">
        <v>54</v>
      </c>
      <c r="F32" t="s">
        <v>55</v>
      </c>
      <c r="G32" s="3">
        <v>2</v>
      </c>
      <c r="H32">
        <v>21600</v>
      </c>
      <c r="I32">
        <v>43200</v>
      </c>
    </row>
    <row r="33" spans="1:9" x14ac:dyDescent="0.35">
      <c r="A33" t="s">
        <v>71</v>
      </c>
      <c r="B33" s="4">
        <v>46178</v>
      </c>
      <c r="C33" s="3" t="s">
        <v>29</v>
      </c>
      <c r="D33" s="3" t="s">
        <v>49</v>
      </c>
      <c r="E33" t="s">
        <v>54</v>
      </c>
      <c r="F33" t="s">
        <v>55</v>
      </c>
      <c r="G33" s="3">
        <v>2</v>
      </c>
      <c r="H33">
        <v>19900</v>
      </c>
      <c r="I33">
        <v>39800</v>
      </c>
    </row>
    <row r="34" spans="1:9" x14ac:dyDescent="0.35">
      <c r="A34" t="s">
        <v>72</v>
      </c>
      <c r="B34" s="4">
        <v>46107</v>
      </c>
      <c r="C34" s="3" t="s">
        <v>24</v>
      </c>
      <c r="D34" s="3" t="s">
        <v>16</v>
      </c>
      <c r="E34" t="s">
        <v>12</v>
      </c>
      <c r="F34" t="s">
        <v>13</v>
      </c>
      <c r="G34" s="3">
        <v>2</v>
      </c>
      <c r="H34">
        <v>2400</v>
      </c>
      <c r="I34">
        <v>4800</v>
      </c>
    </row>
    <row r="35" spans="1:9" x14ac:dyDescent="0.35">
      <c r="A35" t="s">
        <v>73</v>
      </c>
      <c r="B35" s="4">
        <v>46170</v>
      </c>
      <c r="C35" s="3" t="s">
        <v>51</v>
      </c>
      <c r="D35" s="3" t="s">
        <v>74</v>
      </c>
      <c r="E35" t="s">
        <v>61</v>
      </c>
      <c r="F35" t="s">
        <v>13</v>
      </c>
      <c r="G35" s="3">
        <v>2</v>
      </c>
      <c r="H35">
        <v>8900</v>
      </c>
      <c r="I35">
        <v>17800</v>
      </c>
    </row>
    <row r="36" spans="1:9" x14ac:dyDescent="0.35">
      <c r="A36" t="s">
        <v>75</v>
      </c>
      <c r="B36" s="4">
        <v>46024</v>
      </c>
      <c r="C36" s="3" t="s">
        <v>24</v>
      </c>
      <c r="D36" s="3" t="s">
        <v>11</v>
      </c>
      <c r="E36" t="s">
        <v>63</v>
      </c>
      <c r="F36" t="s">
        <v>55</v>
      </c>
      <c r="G36" s="3">
        <v>3</v>
      </c>
      <c r="H36">
        <v>34200</v>
      </c>
      <c r="I36">
        <v>102600</v>
      </c>
    </row>
    <row r="37" spans="1:9" x14ac:dyDescent="0.35">
      <c r="A37" t="s">
        <v>76</v>
      </c>
      <c r="B37" s="4">
        <v>46193</v>
      </c>
      <c r="C37" s="3" t="s">
        <v>39</v>
      </c>
      <c r="D37" s="3" t="s">
        <v>74</v>
      </c>
      <c r="E37" t="s">
        <v>12</v>
      </c>
      <c r="F37" t="s">
        <v>13</v>
      </c>
      <c r="G37" s="3">
        <v>6</v>
      </c>
      <c r="H37">
        <v>2400</v>
      </c>
      <c r="I37">
        <v>14400</v>
      </c>
    </row>
    <row r="38" spans="1:9" x14ac:dyDescent="0.35">
      <c r="A38" t="s">
        <v>77</v>
      </c>
      <c r="B38" s="4">
        <v>46057</v>
      </c>
      <c r="C38" s="3" t="s">
        <v>39</v>
      </c>
      <c r="D38" s="3" t="s">
        <v>49</v>
      </c>
      <c r="E38" t="s">
        <v>40</v>
      </c>
      <c r="F38" t="s">
        <v>13</v>
      </c>
      <c r="G38" s="3">
        <v>1</v>
      </c>
      <c r="H38">
        <v>5500</v>
      </c>
      <c r="I38">
        <v>5500</v>
      </c>
    </row>
    <row r="39" spans="1:9" x14ac:dyDescent="0.35">
      <c r="A39" t="s">
        <v>78</v>
      </c>
      <c r="B39" s="4">
        <v>46060</v>
      </c>
      <c r="C39" s="3" t="s">
        <v>15</v>
      </c>
      <c r="D39" s="3" t="s">
        <v>36</v>
      </c>
      <c r="E39" t="s">
        <v>12</v>
      </c>
      <c r="F39" t="s">
        <v>13</v>
      </c>
      <c r="G39" s="3">
        <v>4</v>
      </c>
      <c r="H39">
        <v>2400</v>
      </c>
      <c r="I39">
        <v>9600</v>
      </c>
    </row>
    <row r="40" spans="1:9" x14ac:dyDescent="0.35">
      <c r="A40" t="s">
        <v>79</v>
      </c>
      <c r="B40" s="4">
        <v>46110</v>
      </c>
      <c r="C40" s="3" t="s">
        <v>44</v>
      </c>
      <c r="D40" s="3" t="s">
        <v>36</v>
      </c>
      <c r="E40" t="s">
        <v>26</v>
      </c>
      <c r="F40" t="s">
        <v>18</v>
      </c>
      <c r="G40" s="3">
        <v>8</v>
      </c>
      <c r="H40">
        <v>74900</v>
      </c>
      <c r="I40">
        <v>599200</v>
      </c>
    </row>
    <row r="41" spans="1:9" x14ac:dyDescent="0.35">
      <c r="A41" t="s">
        <v>80</v>
      </c>
      <c r="B41" s="4">
        <v>46201</v>
      </c>
      <c r="C41" s="3" t="s">
        <v>20</v>
      </c>
      <c r="D41" s="3" t="s">
        <v>36</v>
      </c>
      <c r="E41" t="s">
        <v>32</v>
      </c>
      <c r="F41" t="s">
        <v>13</v>
      </c>
      <c r="G41" s="3">
        <v>5</v>
      </c>
      <c r="H41">
        <v>4400</v>
      </c>
      <c r="I41">
        <v>22000</v>
      </c>
    </row>
    <row r="42" spans="1:9" x14ac:dyDescent="0.35">
      <c r="A42" t="s">
        <v>81</v>
      </c>
      <c r="B42" s="4">
        <v>46090</v>
      </c>
      <c r="C42" s="3" t="s">
        <v>34</v>
      </c>
      <c r="D42" s="3" t="s">
        <v>16</v>
      </c>
      <c r="E42" t="s">
        <v>21</v>
      </c>
      <c r="F42" t="s">
        <v>22</v>
      </c>
      <c r="G42" s="3">
        <v>4</v>
      </c>
      <c r="H42">
        <v>27600</v>
      </c>
      <c r="I42">
        <v>110400</v>
      </c>
    </row>
    <row r="43" spans="1:9" x14ac:dyDescent="0.35">
      <c r="A43" t="s">
        <v>82</v>
      </c>
      <c r="B43" s="4">
        <v>46140</v>
      </c>
      <c r="C43" s="3" t="s">
        <v>31</v>
      </c>
      <c r="D43" s="3" t="s">
        <v>36</v>
      </c>
      <c r="E43" t="s">
        <v>26</v>
      </c>
      <c r="F43" t="s">
        <v>18</v>
      </c>
      <c r="G43" s="3">
        <v>1</v>
      </c>
      <c r="H43">
        <v>74800</v>
      </c>
      <c r="I43">
        <v>74800</v>
      </c>
    </row>
    <row r="44" spans="1:9" x14ac:dyDescent="0.35">
      <c r="A44" t="s">
        <v>83</v>
      </c>
      <c r="B44" s="4">
        <v>46030</v>
      </c>
      <c r="C44" s="3" t="s">
        <v>20</v>
      </c>
      <c r="D44" s="3" t="s">
        <v>11</v>
      </c>
      <c r="E44" t="s">
        <v>12</v>
      </c>
      <c r="F44" t="s">
        <v>13</v>
      </c>
      <c r="G44" s="3">
        <v>7</v>
      </c>
      <c r="H44">
        <v>2600</v>
      </c>
      <c r="I44">
        <v>18200</v>
      </c>
    </row>
    <row r="45" spans="1:9" x14ac:dyDescent="0.35">
      <c r="A45" t="s">
        <v>84</v>
      </c>
      <c r="B45" s="4">
        <v>46172</v>
      </c>
      <c r="C45" s="3" t="s">
        <v>65</v>
      </c>
      <c r="D45" s="3" t="s">
        <v>25</v>
      </c>
      <c r="E45" t="s">
        <v>32</v>
      </c>
      <c r="F45" t="s">
        <v>13</v>
      </c>
      <c r="G45" s="3">
        <v>5</v>
      </c>
      <c r="H45">
        <v>4300</v>
      </c>
      <c r="I45">
        <v>21500</v>
      </c>
    </row>
    <row r="46" spans="1:9" x14ac:dyDescent="0.35">
      <c r="A46" t="s">
        <v>85</v>
      </c>
      <c r="B46" s="4">
        <v>46077</v>
      </c>
      <c r="C46" s="3" t="s">
        <v>15</v>
      </c>
      <c r="D46" s="3" t="s">
        <v>49</v>
      </c>
      <c r="E46" t="s">
        <v>40</v>
      </c>
      <c r="F46" t="s">
        <v>13</v>
      </c>
      <c r="G46" s="3">
        <v>5</v>
      </c>
      <c r="H46">
        <v>6900</v>
      </c>
      <c r="I46">
        <v>34500</v>
      </c>
    </row>
    <row r="47" spans="1:9" x14ac:dyDescent="0.35">
      <c r="A47" t="s">
        <v>86</v>
      </c>
      <c r="B47" s="4">
        <v>46162</v>
      </c>
      <c r="C47" s="3" t="s">
        <v>39</v>
      </c>
      <c r="D47" s="3" t="s">
        <v>11</v>
      </c>
      <c r="E47" t="s">
        <v>21</v>
      </c>
      <c r="F47" t="s">
        <v>22</v>
      </c>
      <c r="G47" s="3">
        <v>3</v>
      </c>
      <c r="H47">
        <v>24200</v>
      </c>
      <c r="I47">
        <v>72600</v>
      </c>
    </row>
    <row r="48" spans="1:9" x14ac:dyDescent="0.35">
      <c r="A48" t="s">
        <v>87</v>
      </c>
      <c r="B48" s="4">
        <v>46098</v>
      </c>
      <c r="C48" s="3" t="s">
        <v>15</v>
      </c>
      <c r="D48" s="3" t="s">
        <v>11</v>
      </c>
      <c r="E48" t="s">
        <v>32</v>
      </c>
      <c r="F48" t="s">
        <v>13</v>
      </c>
      <c r="G48" s="3">
        <v>1</v>
      </c>
      <c r="H48">
        <v>4800</v>
      </c>
      <c r="I48">
        <v>4800</v>
      </c>
    </row>
    <row r="49" spans="1:9" x14ac:dyDescent="0.35">
      <c r="A49" t="s">
        <v>88</v>
      </c>
      <c r="B49" s="4">
        <v>46109</v>
      </c>
      <c r="C49" s="3" t="s">
        <v>34</v>
      </c>
      <c r="D49" s="3" t="s">
        <v>36</v>
      </c>
      <c r="E49" t="s">
        <v>61</v>
      </c>
      <c r="F49" t="s">
        <v>13</v>
      </c>
      <c r="G49" s="3">
        <v>2</v>
      </c>
      <c r="H49">
        <v>8400</v>
      </c>
      <c r="I49">
        <v>16800</v>
      </c>
    </row>
    <row r="50" spans="1:9" x14ac:dyDescent="0.35">
      <c r="A50" t="s">
        <v>89</v>
      </c>
      <c r="B50" s="4">
        <v>46082</v>
      </c>
      <c r="C50" s="3" t="s">
        <v>24</v>
      </c>
      <c r="D50" s="3" t="s">
        <v>16</v>
      </c>
      <c r="E50" t="s">
        <v>40</v>
      </c>
      <c r="F50" t="s">
        <v>13</v>
      </c>
      <c r="G50" s="3">
        <v>2</v>
      </c>
      <c r="H50">
        <v>5600</v>
      </c>
      <c r="I50">
        <v>11200</v>
      </c>
    </row>
    <row r="51" spans="1:9" x14ac:dyDescent="0.35">
      <c r="A51" t="s">
        <v>90</v>
      </c>
      <c r="B51" s="4">
        <v>46199</v>
      </c>
      <c r="C51" s="3" t="s">
        <v>46</v>
      </c>
      <c r="D51" s="3" t="s">
        <v>36</v>
      </c>
      <c r="E51" t="s">
        <v>63</v>
      </c>
      <c r="F51" t="s">
        <v>55</v>
      </c>
      <c r="G51" s="3">
        <v>1</v>
      </c>
      <c r="H51">
        <v>29100</v>
      </c>
      <c r="I51">
        <v>29100</v>
      </c>
    </row>
    <row r="52" spans="1:9" x14ac:dyDescent="0.35">
      <c r="A52" t="s">
        <v>91</v>
      </c>
      <c r="B52" s="4">
        <v>46128</v>
      </c>
      <c r="C52" s="3" t="s">
        <v>31</v>
      </c>
      <c r="D52" s="3" t="s">
        <v>49</v>
      </c>
      <c r="E52" t="s">
        <v>17</v>
      </c>
      <c r="F52" t="s">
        <v>18</v>
      </c>
      <c r="G52" s="3">
        <v>3</v>
      </c>
      <c r="H52">
        <v>39900</v>
      </c>
      <c r="I52">
        <v>119700</v>
      </c>
    </row>
    <row r="53" spans="1:9" x14ac:dyDescent="0.35">
      <c r="A53" t="s">
        <v>92</v>
      </c>
      <c r="B53" s="4">
        <v>46165</v>
      </c>
      <c r="C53" s="3" t="s">
        <v>15</v>
      </c>
      <c r="D53" s="3" t="s">
        <v>36</v>
      </c>
      <c r="E53" t="s">
        <v>37</v>
      </c>
      <c r="F53" t="s">
        <v>18</v>
      </c>
      <c r="G53" s="3">
        <v>3</v>
      </c>
      <c r="H53">
        <v>60600</v>
      </c>
      <c r="I53">
        <v>181800</v>
      </c>
    </row>
    <row r="54" spans="1:9" x14ac:dyDescent="0.35">
      <c r="A54" t="s">
        <v>93</v>
      </c>
      <c r="B54" s="4">
        <v>46108</v>
      </c>
      <c r="C54" s="3" t="s">
        <v>46</v>
      </c>
      <c r="D54" s="3" t="s">
        <v>11</v>
      </c>
      <c r="E54" t="s">
        <v>37</v>
      </c>
      <c r="F54" t="s">
        <v>18</v>
      </c>
      <c r="G54" s="3">
        <v>5</v>
      </c>
      <c r="H54">
        <v>47500</v>
      </c>
      <c r="I54">
        <v>237500</v>
      </c>
    </row>
    <row r="55" spans="1:9" x14ac:dyDescent="0.35">
      <c r="A55" t="s">
        <v>94</v>
      </c>
      <c r="B55" s="4">
        <v>46079</v>
      </c>
      <c r="C55" s="3" t="s">
        <v>34</v>
      </c>
      <c r="D55" s="3" t="s">
        <v>74</v>
      </c>
      <c r="E55" t="s">
        <v>26</v>
      </c>
      <c r="F55" t="s">
        <v>18</v>
      </c>
      <c r="G55" s="3">
        <v>4</v>
      </c>
      <c r="H55">
        <v>81000</v>
      </c>
      <c r="I55">
        <v>324000</v>
      </c>
    </row>
    <row r="56" spans="1:9" x14ac:dyDescent="0.35">
      <c r="A56" t="s">
        <v>95</v>
      </c>
      <c r="B56" s="4">
        <v>46092</v>
      </c>
      <c r="C56" s="3" t="s">
        <v>24</v>
      </c>
      <c r="D56" s="3" t="s">
        <v>36</v>
      </c>
      <c r="E56" t="s">
        <v>26</v>
      </c>
      <c r="F56" t="s">
        <v>18</v>
      </c>
      <c r="G56" s="3">
        <v>6</v>
      </c>
      <c r="H56">
        <v>92800</v>
      </c>
      <c r="I56">
        <v>556800</v>
      </c>
    </row>
    <row r="57" spans="1:9" x14ac:dyDescent="0.35">
      <c r="A57" t="s">
        <v>96</v>
      </c>
      <c r="B57" s="4">
        <v>46172</v>
      </c>
      <c r="C57" s="3" t="s">
        <v>15</v>
      </c>
      <c r="D57" s="3" t="s">
        <v>11</v>
      </c>
      <c r="E57" t="s">
        <v>17</v>
      </c>
      <c r="F57" t="s">
        <v>18</v>
      </c>
      <c r="G57" s="3">
        <v>6</v>
      </c>
      <c r="H57">
        <v>35700</v>
      </c>
      <c r="I57">
        <v>214200</v>
      </c>
    </row>
    <row r="58" spans="1:9" x14ac:dyDescent="0.35">
      <c r="A58" t="s">
        <v>97</v>
      </c>
      <c r="B58" s="4">
        <v>46140</v>
      </c>
      <c r="C58" s="3" t="s">
        <v>34</v>
      </c>
      <c r="D58" s="3" t="s">
        <v>49</v>
      </c>
      <c r="E58" t="s">
        <v>17</v>
      </c>
      <c r="F58" t="s">
        <v>18</v>
      </c>
      <c r="G58" s="3">
        <v>6</v>
      </c>
      <c r="H58">
        <v>31500</v>
      </c>
      <c r="I58">
        <v>189000</v>
      </c>
    </row>
    <row r="59" spans="1:9" x14ac:dyDescent="0.35">
      <c r="A59" t="s">
        <v>98</v>
      </c>
      <c r="B59" s="4">
        <v>46203</v>
      </c>
      <c r="C59" s="3" t="s">
        <v>10</v>
      </c>
      <c r="D59" s="3" t="s">
        <v>74</v>
      </c>
      <c r="E59" t="s">
        <v>32</v>
      </c>
      <c r="F59" t="s">
        <v>13</v>
      </c>
      <c r="G59" s="3">
        <v>8</v>
      </c>
      <c r="H59">
        <v>5000</v>
      </c>
      <c r="I59">
        <v>40000</v>
      </c>
    </row>
    <row r="60" spans="1:9" x14ac:dyDescent="0.35">
      <c r="A60" t="s">
        <v>99</v>
      </c>
      <c r="B60" s="4">
        <v>46099</v>
      </c>
      <c r="C60" s="3" t="s">
        <v>34</v>
      </c>
      <c r="D60" s="3" t="s">
        <v>74</v>
      </c>
      <c r="E60" t="s">
        <v>54</v>
      </c>
      <c r="F60" t="s">
        <v>55</v>
      </c>
      <c r="G60" s="3">
        <v>2</v>
      </c>
      <c r="H60">
        <v>24400</v>
      </c>
      <c r="I60">
        <v>48800</v>
      </c>
    </row>
    <row r="61" spans="1:9" x14ac:dyDescent="0.35">
      <c r="A61" t="s">
        <v>100</v>
      </c>
      <c r="B61" s="4">
        <v>46138</v>
      </c>
      <c r="C61" s="3" t="s">
        <v>29</v>
      </c>
      <c r="D61" s="3" t="s">
        <v>25</v>
      </c>
      <c r="E61" t="s">
        <v>21</v>
      </c>
      <c r="F61" t="s">
        <v>22</v>
      </c>
      <c r="G61" s="3">
        <v>8</v>
      </c>
      <c r="H61">
        <v>31400</v>
      </c>
      <c r="I61">
        <v>251200</v>
      </c>
    </row>
    <row r="62" spans="1:9" x14ac:dyDescent="0.35">
      <c r="A62" t="s">
        <v>101</v>
      </c>
      <c r="B62" s="4">
        <v>46067</v>
      </c>
      <c r="C62" s="3" t="s">
        <v>20</v>
      </c>
      <c r="D62" s="3" t="s">
        <v>11</v>
      </c>
      <c r="E62" t="s">
        <v>17</v>
      </c>
      <c r="F62" t="s">
        <v>18</v>
      </c>
      <c r="G62" s="3">
        <v>6</v>
      </c>
      <c r="H62">
        <v>38100</v>
      </c>
      <c r="I62">
        <v>228600</v>
      </c>
    </row>
    <row r="63" spans="1:9" x14ac:dyDescent="0.35">
      <c r="A63" t="s">
        <v>102</v>
      </c>
      <c r="B63" s="4">
        <v>46190</v>
      </c>
      <c r="C63" s="3" t="s">
        <v>34</v>
      </c>
      <c r="D63" s="3" t="s">
        <v>49</v>
      </c>
      <c r="E63" t="s">
        <v>37</v>
      </c>
      <c r="F63" t="s">
        <v>18</v>
      </c>
      <c r="G63" s="3">
        <v>4</v>
      </c>
      <c r="H63">
        <v>55000</v>
      </c>
      <c r="I63">
        <v>220000</v>
      </c>
    </row>
    <row r="64" spans="1:9" x14ac:dyDescent="0.35">
      <c r="A64" t="s">
        <v>103</v>
      </c>
      <c r="B64" s="4">
        <v>46194</v>
      </c>
      <c r="C64" s="3" t="s">
        <v>10</v>
      </c>
      <c r="D64" s="3" t="s">
        <v>11</v>
      </c>
      <c r="E64" t="s">
        <v>32</v>
      </c>
      <c r="F64" t="s">
        <v>13</v>
      </c>
      <c r="G64" s="3">
        <v>6</v>
      </c>
      <c r="H64">
        <v>4300</v>
      </c>
      <c r="I64">
        <v>25800</v>
      </c>
    </row>
    <row r="65" spans="1:9" x14ac:dyDescent="0.35">
      <c r="A65" t="s">
        <v>104</v>
      </c>
      <c r="B65" s="4">
        <v>46154</v>
      </c>
      <c r="C65" s="3" t="s">
        <v>46</v>
      </c>
      <c r="D65" s="3" t="s">
        <v>36</v>
      </c>
      <c r="E65" t="s">
        <v>61</v>
      </c>
      <c r="F65" t="s">
        <v>13</v>
      </c>
      <c r="G65" s="3">
        <v>6</v>
      </c>
      <c r="H65">
        <v>8800</v>
      </c>
      <c r="I65">
        <v>52800</v>
      </c>
    </row>
    <row r="66" spans="1:9" x14ac:dyDescent="0.35">
      <c r="A66" t="s">
        <v>105</v>
      </c>
      <c r="B66" s="4">
        <v>46063</v>
      </c>
      <c r="C66" s="3" t="s">
        <v>39</v>
      </c>
      <c r="D66" s="3" t="s">
        <v>74</v>
      </c>
      <c r="E66" t="s">
        <v>40</v>
      </c>
      <c r="F66" t="s">
        <v>13</v>
      </c>
      <c r="G66" s="3">
        <v>4</v>
      </c>
      <c r="H66">
        <v>5800</v>
      </c>
      <c r="I66">
        <v>23200</v>
      </c>
    </row>
    <row r="67" spans="1:9" x14ac:dyDescent="0.35">
      <c r="A67" t="s">
        <v>106</v>
      </c>
      <c r="B67" s="4">
        <v>46155</v>
      </c>
      <c r="C67" s="3" t="s">
        <v>24</v>
      </c>
      <c r="D67" s="3" t="s">
        <v>74</v>
      </c>
      <c r="E67" t="s">
        <v>17</v>
      </c>
      <c r="F67" t="s">
        <v>18</v>
      </c>
      <c r="G67" s="3">
        <v>5</v>
      </c>
      <c r="H67">
        <v>32100</v>
      </c>
      <c r="I67">
        <v>160500</v>
      </c>
    </row>
    <row r="68" spans="1:9" x14ac:dyDescent="0.35">
      <c r="A68" t="s">
        <v>107</v>
      </c>
      <c r="B68" s="4">
        <v>46033</v>
      </c>
      <c r="C68" s="3" t="s">
        <v>65</v>
      </c>
      <c r="D68" s="3" t="s">
        <v>25</v>
      </c>
      <c r="E68" t="s">
        <v>63</v>
      </c>
      <c r="F68" t="s">
        <v>55</v>
      </c>
      <c r="G68" s="3">
        <v>2</v>
      </c>
      <c r="H68">
        <v>33600</v>
      </c>
      <c r="I68">
        <v>67200</v>
      </c>
    </row>
    <row r="69" spans="1:9" x14ac:dyDescent="0.35">
      <c r="A69" t="s">
        <v>108</v>
      </c>
      <c r="B69" s="4">
        <v>46032</v>
      </c>
      <c r="C69" s="3" t="s">
        <v>10</v>
      </c>
      <c r="D69" s="3" t="s">
        <v>16</v>
      </c>
      <c r="E69" t="s">
        <v>37</v>
      </c>
      <c r="F69" t="s">
        <v>18</v>
      </c>
      <c r="G69" s="3">
        <v>2</v>
      </c>
      <c r="H69">
        <v>49100</v>
      </c>
      <c r="I69">
        <v>98200</v>
      </c>
    </row>
    <row r="70" spans="1:9" x14ac:dyDescent="0.35">
      <c r="A70" t="s">
        <v>109</v>
      </c>
      <c r="B70" s="4">
        <v>46170</v>
      </c>
      <c r="C70" s="3" t="s">
        <v>51</v>
      </c>
      <c r="D70" s="3" t="s">
        <v>16</v>
      </c>
      <c r="E70" t="s">
        <v>37</v>
      </c>
      <c r="F70" t="s">
        <v>18</v>
      </c>
      <c r="G70" s="3">
        <v>7</v>
      </c>
      <c r="H70">
        <v>56600</v>
      </c>
      <c r="I70">
        <v>396200</v>
      </c>
    </row>
    <row r="71" spans="1:9" x14ac:dyDescent="0.35">
      <c r="A71" t="s">
        <v>110</v>
      </c>
      <c r="B71" s="4">
        <v>46182</v>
      </c>
      <c r="C71" s="3" t="s">
        <v>20</v>
      </c>
      <c r="D71" s="3" t="s">
        <v>25</v>
      </c>
      <c r="E71" t="s">
        <v>61</v>
      </c>
      <c r="F71" t="s">
        <v>13</v>
      </c>
      <c r="G71" s="3">
        <v>8</v>
      </c>
      <c r="H71">
        <v>7500</v>
      </c>
      <c r="I71">
        <v>60000</v>
      </c>
    </row>
    <row r="72" spans="1:9" x14ac:dyDescent="0.35">
      <c r="A72" t="s">
        <v>111</v>
      </c>
      <c r="B72" s="4">
        <v>46182</v>
      </c>
      <c r="C72" s="3" t="s">
        <v>46</v>
      </c>
      <c r="D72" s="3" t="s">
        <v>25</v>
      </c>
      <c r="E72" t="s">
        <v>12</v>
      </c>
      <c r="F72" t="s">
        <v>13</v>
      </c>
      <c r="G72" s="3">
        <v>4</v>
      </c>
      <c r="H72">
        <v>2800</v>
      </c>
      <c r="I72">
        <v>11200</v>
      </c>
    </row>
    <row r="73" spans="1:9" x14ac:dyDescent="0.35">
      <c r="A73" t="s">
        <v>112</v>
      </c>
      <c r="B73" s="4">
        <v>46175</v>
      </c>
      <c r="C73" s="3" t="s">
        <v>24</v>
      </c>
      <c r="D73" s="3" t="s">
        <v>49</v>
      </c>
      <c r="E73" t="s">
        <v>40</v>
      </c>
      <c r="F73" t="s">
        <v>13</v>
      </c>
      <c r="G73" s="3">
        <v>6</v>
      </c>
      <c r="H73">
        <v>6300</v>
      </c>
      <c r="I73">
        <v>37800</v>
      </c>
    </row>
    <row r="74" spans="1:9" x14ac:dyDescent="0.35">
      <c r="A74" t="s">
        <v>113</v>
      </c>
      <c r="B74" s="4">
        <v>46173</v>
      </c>
      <c r="C74" s="3" t="s">
        <v>44</v>
      </c>
      <c r="D74" s="3" t="s">
        <v>11</v>
      </c>
      <c r="E74" t="s">
        <v>26</v>
      </c>
      <c r="F74" t="s">
        <v>18</v>
      </c>
      <c r="G74" s="3">
        <v>2</v>
      </c>
      <c r="H74">
        <v>77000</v>
      </c>
      <c r="I74">
        <v>154000</v>
      </c>
    </row>
    <row r="75" spans="1:9" x14ac:dyDescent="0.35">
      <c r="A75" t="s">
        <v>114</v>
      </c>
      <c r="B75" s="4">
        <v>46183</v>
      </c>
      <c r="C75" s="3" t="s">
        <v>44</v>
      </c>
      <c r="D75" s="3" t="s">
        <v>16</v>
      </c>
      <c r="E75" t="s">
        <v>21</v>
      </c>
      <c r="F75" t="s">
        <v>22</v>
      </c>
      <c r="G75" s="3">
        <v>7</v>
      </c>
      <c r="H75">
        <v>31800</v>
      </c>
      <c r="I75">
        <v>222600</v>
      </c>
    </row>
    <row r="76" spans="1:9" x14ac:dyDescent="0.35">
      <c r="A76" t="s">
        <v>115</v>
      </c>
      <c r="B76" s="4">
        <v>46146</v>
      </c>
      <c r="C76" s="3" t="s">
        <v>24</v>
      </c>
      <c r="D76" s="3" t="s">
        <v>25</v>
      </c>
      <c r="E76" t="s">
        <v>54</v>
      </c>
      <c r="F76" t="s">
        <v>55</v>
      </c>
      <c r="G76" s="3">
        <v>5</v>
      </c>
      <c r="H76">
        <v>24700</v>
      </c>
      <c r="I76">
        <v>123500</v>
      </c>
    </row>
    <row r="77" spans="1:9" x14ac:dyDescent="0.35">
      <c r="A77" t="s">
        <v>116</v>
      </c>
      <c r="B77" s="4">
        <v>46184</v>
      </c>
      <c r="C77" s="3" t="s">
        <v>10</v>
      </c>
      <c r="D77" s="3" t="s">
        <v>11</v>
      </c>
      <c r="E77" t="s">
        <v>37</v>
      </c>
      <c r="F77" t="s">
        <v>18</v>
      </c>
      <c r="G77" s="3">
        <v>8</v>
      </c>
      <c r="H77">
        <v>49100</v>
      </c>
      <c r="I77">
        <v>392800</v>
      </c>
    </row>
    <row r="78" spans="1:9" x14ac:dyDescent="0.35">
      <c r="A78" t="s">
        <v>117</v>
      </c>
      <c r="B78" s="4">
        <v>46114</v>
      </c>
      <c r="C78" s="3" t="s">
        <v>24</v>
      </c>
      <c r="D78" s="3" t="s">
        <v>16</v>
      </c>
      <c r="E78" t="s">
        <v>40</v>
      </c>
      <c r="F78" t="s">
        <v>13</v>
      </c>
      <c r="G78" s="3">
        <v>8</v>
      </c>
      <c r="H78">
        <v>6500</v>
      </c>
      <c r="I78">
        <v>52000</v>
      </c>
    </row>
    <row r="79" spans="1:9" x14ac:dyDescent="0.35">
      <c r="A79" t="s">
        <v>118</v>
      </c>
      <c r="B79" s="4">
        <v>46116</v>
      </c>
      <c r="C79" s="3" t="s">
        <v>15</v>
      </c>
      <c r="D79" s="3" t="s">
        <v>25</v>
      </c>
      <c r="E79" t="s">
        <v>32</v>
      </c>
      <c r="F79" t="s">
        <v>13</v>
      </c>
      <c r="G79" s="3">
        <v>1</v>
      </c>
      <c r="H79">
        <v>4700</v>
      </c>
      <c r="I79">
        <v>4700</v>
      </c>
    </row>
    <row r="80" spans="1:9" x14ac:dyDescent="0.35">
      <c r="A80" t="s">
        <v>119</v>
      </c>
      <c r="B80" s="4">
        <v>46069</v>
      </c>
      <c r="C80" s="3" t="s">
        <v>10</v>
      </c>
      <c r="D80" s="3" t="s">
        <v>16</v>
      </c>
      <c r="E80" t="s">
        <v>12</v>
      </c>
      <c r="F80" t="s">
        <v>13</v>
      </c>
      <c r="G80" s="3">
        <v>8</v>
      </c>
      <c r="H80">
        <v>2200</v>
      </c>
      <c r="I80">
        <v>17600</v>
      </c>
    </row>
    <row r="81" spans="1:9" x14ac:dyDescent="0.35">
      <c r="A81" t="s">
        <v>120</v>
      </c>
      <c r="B81" s="4">
        <v>46052</v>
      </c>
      <c r="C81" s="3" t="s">
        <v>29</v>
      </c>
      <c r="D81" s="3" t="s">
        <v>36</v>
      </c>
      <c r="E81" t="s">
        <v>21</v>
      </c>
      <c r="F81" t="s">
        <v>22</v>
      </c>
      <c r="G81" s="3">
        <v>6</v>
      </c>
      <c r="H81">
        <v>27400</v>
      </c>
      <c r="I81">
        <v>164400</v>
      </c>
    </row>
    <row r="82" spans="1:9" x14ac:dyDescent="0.35">
      <c r="A82" t="s">
        <v>121</v>
      </c>
      <c r="B82" s="4">
        <v>46138</v>
      </c>
      <c r="C82" s="3" t="s">
        <v>20</v>
      </c>
      <c r="D82" s="3" t="s">
        <v>16</v>
      </c>
      <c r="E82" t="s">
        <v>37</v>
      </c>
      <c r="F82" t="s">
        <v>18</v>
      </c>
      <c r="G82" s="3">
        <v>5</v>
      </c>
      <c r="H82">
        <v>52700</v>
      </c>
      <c r="I82">
        <v>263500</v>
      </c>
    </row>
    <row r="83" spans="1:9" x14ac:dyDescent="0.35">
      <c r="A83" t="s">
        <v>122</v>
      </c>
      <c r="B83" s="4">
        <v>46180</v>
      </c>
      <c r="C83" s="3" t="s">
        <v>44</v>
      </c>
      <c r="D83" s="3" t="s">
        <v>49</v>
      </c>
      <c r="E83" t="s">
        <v>63</v>
      </c>
      <c r="F83" t="s">
        <v>55</v>
      </c>
      <c r="G83" s="3">
        <v>6</v>
      </c>
      <c r="H83">
        <v>27000</v>
      </c>
      <c r="I83">
        <v>162000</v>
      </c>
    </row>
    <row r="84" spans="1:9" x14ac:dyDescent="0.35">
      <c r="A84" t="s">
        <v>123</v>
      </c>
      <c r="B84" s="4">
        <v>46128</v>
      </c>
      <c r="C84" s="3" t="s">
        <v>34</v>
      </c>
      <c r="D84" s="3" t="s">
        <v>11</v>
      </c>
      <c r="E84" t="s">
        <v>32</v>
      </c>
      <c r="F84" t="s">
        <v>13</v>
      </c>
      <c r="G84" s="3">
        <v>6</v>
      </c>
      <c r="H84">
        <v>4900</v>
      </c>
      <c r="I84">
        <v>29400</v>
      </c>
    </row>
    <row r="85" spans="1:9" x14ac:dyDescent="0.35">
      <c r="A85" t="s">
        <v>124</v>
      </c>
      <c r="B85" s="4">
        <v>46118</v>
      </c>
      <c r="C85" s="3" t="s">
        <v>24</v>
      </c>
      <c r="D85" s="3" t="s">
        <v>36</v>
      </c>
      <c r="E85" t="s">
        <v>40</v>
      </c>
      <c r="F85" t="s">
        <v>13</v>
      </c>
      <c r="G85" s="3">
        <v>1</v>
      </c>
      <c r="H85">
        <v>6800</v>
      </c>
      <c r="I85">
        <v>6800</v>
      </c>
    </row>
    <row r="86" spans="1:9" x14ac:dyDescent="0.35">
      <c r="A86" t="s">
        <v>125</v>
      </c>
      <c r="B86" s="4">
        <v>46202</v>
      </c>
      <c r="C86" s="3" t="s">
        <v>29</v>
      </c>
      <c r="D86" s="3" t="s">
        <v>16</v>
      </c>
      <c r="E86" t="s">
        <v>12</v>
      </c>
      <c r="F86" t="s">
        <v>13</v>
      </c>
      <c r="G86" s="3">
        <v>5</v>
      </c>
      <c r="H86">
        <v>2200</v>
      </c>
      <c r="I86">
        <v>11000</v>
      </c>
    </row>
    <row r="87" spans="1:9" x14ac:dyDescent="0.35">
      <c r="A87" t="s">
        <v>126</v>
      </c>
      <c r="B87" s="4">
        <v>46159</v>
      </c>
      <c r="C87" s="3" t="s">
        <v>31</v>
      </c>
      <c r="D87" s="3" t="s">
        <v>25</v>
      </c>
      <c r="E87" t="s">
        <v>21</v>
      </c>
      <c r="F87" t="s">
        <v>22</v>
      </c>
      <c r="G87" s="3">
        <v>1</v>
      </c>
      <c r="H87">
        <v>25100</v>
      </c>
      <c r="I87">
        <v>25100</v>
      </c>
    </row>
    <row r="88" spans="1:9" x14ac:dyDescent="0.35">
      <c r="A88" t="s">
        <v>127</v>
      </c>
      <c r="B88" s="4">
        <v>46129</v>
      </c>
      <c r="C88" s="3" t="s">
        <v>31</v>
      </c>
      <c r="D88" s="3" t="s">
        <v>11</v>
      </c>
      <c r="E88" t="s">
        <v>12</v>
      </c>
      <c r="F88" t="s">
        <v>13</v>
      </c>
      <c r="G88" s="3">
        <v>6</v>
      </c>
      <c r="H88">
        <v>2200</v>
      </c>
      <c r="I88">
        <v>13200</v>
      </c>
    </row>
    <row r="89" spans="1:9" x14ac:dyDescent="0.35">
      <c r="A89" t="s">
        <v>128</v>
      </c>
      <c r="B89" s="4">
        <v>46172</v>
      </c>
      <c r="C89" s="3" t="s">
        <v>46</v>
      </c>
      <c r="D89" s="3" t="s">
        <v>74</v>
      </c>
      <c r="E89" t="s">
        <v>12</v>
      </c>
      <c r="F89" t="s">
        <v>13</v>
      </c>
      <c r="G89" s="3">
        <v>7</v>
      </c>
      <c r="H89">
        <v>2600</v>
      </c>
      <c r="I89">
        <v>18200</v>
      </c>
    </row>
    <row r="90" spans="1:9" x14ac:dyDescent="0.35">
      <c r="A90" t="s">
        <v>129</v>
      </c>
      <c r="B90" s="4">
        <v>46140</v>
      </c>
      <c r="C90" s="3" t="s">
        <v>31</v>
      </c>
      <c r="D90" s="3" t="s">
        <v>49</v>
      </c>
      <c r="E90" t="s">
        <v>32</v>
      </c>
      <c r="F90" t="s">
        <v>13</v>
      </c>
      <c r="G90" s="3">
        <v>2</v>
      </c>
      <c r="H90">
        <v>4800</v>
      </c>
      <c r="I90">
        <v>9600</v>
      </c>
    </row>
    <row r="91" spans="1:9" x14ac:dyDescent="0.35">
      <c r="A91" t="s">
        <v>130</v>
      </c>
      <c r="B91" s="4">
        <v>46090</v>
      </c>
      <c r="C91" s="3" t="s">
        <v>65</v>
      </c>
      <c r="D91" s="3" t="s">
        <v>25</v>
      </c>
      <c r="E91" t="s">
        <v>17</v>
      </c>
      <c r="F91" t="s">
        <v>18</v>
      </c>
      <c r="G91" s="3">
        <v>6</v>
      </c>
      <c r="H91">
        <v>34400</v>
      </c>
      <c r="I91">
        <v>206400</v>
      </c>
    </row>
    <row r="92" spans="1:9" x14ac:dyDescent="0.35">
      <c r="A92" t="s">
        <v>131</v>
      </c>
      <c r="B92" s="4">
        <v>46069</v>
      </c>
      <c r="C92" s="3" t="s">
        <v>31</v>
      </c>
      <c r="D92" s="3" t="s">
        <v>49</v>
      </c>
      <c r="E92" t="s">
        <v>54</v>
      </c>
      <c r="F92" t="s">
        <v>55</v>
      </c>
      <c r="G92" s="3">
        <v>6</v>
      </c>
      <c r="H92">
        <v>21300</v>
      </c>
      <c r="I92">
        <v>127800</v>
      </c>
    </row>
    <row r="93" spans="1:9" x14ac:dyDescent="0.35">
      <c r="A93" t="s">
        <v>132</v>
      </c>
      <c r="B93" s="4">
        <v>46192</v>
      </c>
      <c r="C93" s="3" t="s">
        <v>10</v>
      </c>
      <c r="D93" s="3" t="s">
        <v>36</v>
      </c>
      <c r="E93" t="s">
        <v>63</v>
      </c>
      <c r="F93" t="s">
        <v>55</v>
      </c>
      <c r="G93" s="3">
        <v>1</v>
      </c>
      <c r="H93">
        <v>33400</v>
      </c>
      <c r="I93">
        <v>33400</v>
      </c>
    </row>
    <row r="94" spans="1:9" x14ac:dyDescent="0.35">
      <c r="A94" t="s">
        <v>133</v>
      </c>
      <c r="B94" s="4">
        <v>46151</v>
      </c>
      <c r="C94" s="3" t="s">
        <v>24</v>
      </c>
      <c r="D94" s="3" t="s">
        <v>36</v>
      </c>
      <c r="E94" t="s">
        <v>12</v>
      </c>
      <c r="F94" t="s">
        <v>13</v>
      </c>
      <c r="G94" s="3">
        <v>5</v>
      </c>
      <c r="H94">
        <v>2200</v>
      </c>
      <c r="I94">
        <v>11000</v>
      </c>
    </row>
    <row r="95" spans="1:9" x14ac:dyDescent="0.35">
      <c r="A95" t="s">
        <v>134</v>
      </c>
      <c r="B95" s="4">
        <v>46084</v>
      </c>
      <c r="C95" s="3" t="s">
        <v>24</v>
      </c>
      <c r="D95" s="3" t="s">
        <v>49</v>
      </c>
      <c r="E95" t="s">
        <v>12</v>
      </c>
      <c r="F95" t="s">
        <v>13</v>
      </c>
      <c r="G95" s="3">
        <v>4</v>
      </c>
      <c r="H95">
        <v>2400</v>
      </c>
      <c r="I95">
        <v>9600</v>
      </c>
    </row>
    <row r="96" spans="1:9" x14ac:dyDescent="0.35">
      <c r="A96" t="s">
        <v>135</v>
      </c>
      <c r="B96" s="4">
        <v>46088</v>
      </c>
      <c r="C96" s="3" t="s">
        <v>31</v>
      </c>
      <c r="D96" s="3" t="s">
        <v>49</v>
      </c>
      <c r="E96" t="s">
        <v>32</v>
      </c>
      <c r="F96" t="s">
        <v>13</v>
      </c>
      <c r="G96" s="3">
        <v>3</v>
      </c>
      <c r="H96">
        <v>4600</v>
      </c>
      <c r="I96">
        <v>13800</v>
      </c>
    </row>
    <row r="97" spans="1:9" x14ac:dyDescent="0.35">
      <c r="A97" t="s">
        <v>136</v>
      </c>
      <c r="B97" s="4">
        <v>46094</v>
      </c>
      <c r="C97" s="3" t="s">
        <v>65</v>
      </c>
      <c r="D97" s="3" t="s">
        <v>36</v>
      </c>
      <c r="E97" t="s">
        <v>21</v>
      </c>
      <c r="F97" t="s">
        <v>22</v>
      </c>
      <c r="G97" s="3">
        <v>7</v>
      </c>
      <c r="H97">
        <v>26400</v>
      </c>
      <c r="I97">
        <v>184800</v>
      </c>
    </row>
    <row r="98" spans="1:9" x14ac:dyDescent="0.35">
      <c r="A98" t="s">
        <v>137</v>
      </c>
      <c r="B98" s="4">
        <v>46100</v>
      </c>
      <c r="C98" s="3" t="s">
        <v>65</v>
      </c>
      <c r="D98" s="3" t="s">
        <v>16</v>
      </c>
      <c r="E98" t="s">
        <v>37</v>
      </c>
      <c r="F98" t="s">
        <v>18</v>
      </c>
      <c r="G98" s="3">
        <v>5</v>
      </c>
      <c r="H98">
        <v>54300</v>
      </c>
      <c r="I98">
        <v>271500</v>
      </c>
    </row>
    <row r="99" spans="1:9" x14ac:dyDescent="0.35">
      <c r="A99" t="s">
        <v>138</v>
      </c>
      <c r="B99" s="4">
        <v>46100</v>
      </c>
      <c r="C99" s="3" t="s">
        <v>20</v>
      </c>
      <c r="D99" s="3" t="s">
        <v>25</v>
      </c>
      <c r="E99" t="s">
        <v>54</v>
      </c>
      <c r="F99" t="s">
        <v>55</v>
      </c>
      <c r="G99" s="3">
        <v>5</v>
      </c>
      <c r="H99">
        <v>22900</v>
      </c>
      <c r="I99">
        <v>114500</v>
      </c>
    </row>
    <row r="100" spans="1:9" x14ac:dyDescent="0.35">
      <c r="A100" t="s">
        <v>139</v>
      </c>
      <c r="B100" s="4">
        <v>46079</v>
      </c>
      <c r="C100" s="3" t="s">
        <v>46</v>
      </c>
      <c r="D100" s="3" t="s">
        <v>11</v>
      </c>
      <c r="E100" t="s">
        <v>26</v>
      </c>
      <c r="F100" t="s">
        <v>18</v>
      </c>
      <c r="G100" s="3">
        <v>2</v>
      </c>
      <c r="H100">
        <v>92100</v>
      </c>
      <c r="I100">
        <v>184200</v>
      </c>
    </row>
    <row r="101" spans="1:9" x14ac:dyDescent="0.35">
      <c r="A101" t="s">
        <v>140</v>
      </c>
      <c r="B101" s="4">
        <v>46033</v>
      </c>
      <c r="C101" s="3" t="s">
        <v>39</v>
      </c>
      <c r="D101" s="3" t="s">
        <v>25</v>
      </c>
      <c r="E101" t="s">
        <v>26</v>
      </c>
      <c r="F101" t="s">
        <v>18</v>
      </c>
      <c r="G101" s="3">
        <v>5</v>
      </c>
      <c r="H101">
        <v>81500</v>
      </c>
      <c r="I101">
        <v>407500</v>
      </c>
    </row>
    <row r="102" spans="1:9" x14ac:dyDescent="0.35">
      <c r="A102" t="s">
        <v>141</v>
      </c>
      <c r="B102" s="4">
        <v>46132</v>
      </c>
      <c r="C102" s="3" t="s">
        <v>34</v>
      </c>
      <c r="D102" s="3" t="s">
        <v>74</v>
      </c>
      <c r="E102" t="s">
        <v>37</v>
      </c>
      <c r="F102" t="s">
        <v>18</v>
      </c>
      <c r="G102" s="3">
        <v>6</v>
      </c>
      <c r="H102">
        <v>48500</v>
      </c>
      <c r="I102">
        <v>291000</v>
      </c>
    </row>
    <row r="103" spans="1:9" x14ac:dyDescent="0.35">
      <c r="A103" t="s">
        <v>142</v>
      </c>
      <c r="B103" s="4">
        <v>46139</v>
      </c>
      <c r="C103" s="3" t="s">
        <v>31</v>
      </c>
      <c r="D103" s="3" t="s">
        <v>36</v>
      </c>
      <c r="E103" t="s">
        <v>12</v>
      </c>
      <c r="F103" t="s">
        <v>13</v>
      </c>
      <c r="G103" s="3">
        <v>6</v>
      </c>
      <c r="H103">
        <v>2400</v>
      </c>
      <c r="I103">
        <v>14400</v>
      </c>
    </row>
    <row r="104" spans="1:9" x14ac:dyDescent="0.35">
      <c r="A104" t="s">
        <v>143</v>
      </c>
      <c r="B104" s="4">
        <v>46030</v>
      </c>
      <c r="C104" s="3" t="s">
        <v>31</v>
      </c>
      <c r="D104" s="3" t="s">
        <v>16</v>
      </c>
      <c r="E104" t="s">
        <v>54</v>
      </c>
      <c r="F104" t="s">
        <v>55</v>
      </c>
      <c r="G104" s="3">
        <v>5</v>
      </c>
      <c r="H104">
        <v>21700</v>
      </c>
      <c r="I104">
        <v>108500</v>
      </c>
    </row>
    <row r="105" spans="1:9" x14ac:dyDescent="0.35">
      <c r="A105" t="s">
        <v>144</v>
      </c>
      <c r="B105" s="4">
        <v>46167</v>
      </c>
      <c r="C105" s="3" t="s">
        <v>46</v>
      </c>
      <c r="D105" s="3" t="s">
        <v>74</v>
      </c>
      <c r="E105" t="s">
        <v>26</v>
      </c>
      <c r="F105" t="s">
        <v>18</v>
      </c>
      <c r="G105" s="3">
        <v>6</v>
      </c>
      <c r="H105">
        <v>96400</v>
      </c>
      <c r="I105">
        <v>578400</v>
      </c>
    </row>
    <row r="106" spans="1:9" x14ac:dyDescent="0.35">
      <c r="A106" t="s">
        <v>145</v>
      </c>
      <c r="B106" s="4">
        <v>46033</v>
      </c>
      <c r="C106" s="3" t="s">
        <v>31</v>
      </c>
      <c r="D106" s="3" t="s">
        <v>16</v>
      </c>
      <c r="E106" t="s">
        <v>17</v>
      </c>
      <c r="F106" t="s">
        <v>18</v>
      </c>
      <c r="G106" s="3">
        <v>1</v>
      </c>
      <c r="H106">
        <v>32500</v>
      </c>
      <c r="I106">
        <v>32500</v>
      </c>
    </row>
    <row r="107" spans="1:9" x14ac:dyDescent="0.35">
      <c r="A107" t="s">
        <v>146</v>
      </c>
      <c r="B107" s="4">
        <v>46157</v>
      </c>
      <c r="C107" s="3" t="s">
        <v>24</v>
      </c>
      <c r="D107" s="3" t="s">
        <v>74</v>
      </c>
      <c r="E107" t="s">
        <v>17</v>
      </c>
      <c r="F107" t="s">
        <v>18</v>
      </c>
      <c r="G107" s="3">
        <v>6</v>
      </c>
      <c r="H107">
        <v>30500</v>
      </c>
      <c r="I107">
        <v>183000</v>
      </c>
    </row>
    <row r="108" spans="1:9" x14ac:dyDescent="0.35">
      <c r="A108" t="s">
        <v>147</v>
      </c>
      <c r="B108" s="4">
        <v>46040</v>
      </c>
      <c r="C108" s="3" t="s">
        <v>65</v>
      </c>
      <c r="D108" s="3" t="s">
        <v>49</v>
      </c>
      <c r="E108" t="s">
        <v>12</v>
      </c>
      <c r="F108" t="s">
        <v>13</v>
      </c>
      <c r="G108" s="3">
        <v>2</v>
      </c>
      <c r="H108">
        <v>2300</v>
      </c>
      <c r="I108">
        <v>4600</v>
      </c>
    </row>
    <row r="109" spans="1:9" x14ac:dyDescent="0.35">
      <c r="A109" t="s">
        <v>148</v>
      </c>
      <c r="B109" s="4">
        <v>46047</v>
      </c>
      <c r="C109" s="3" t="s">
        <v>29</v>
      </c>
      <c r="D109" s="3" t="s">
        <v>16</v>
      </c>
      <c r="E109" t="s">
        <v>12</v>
      </c>
      <c r="F109" t="s">
        <v>13</v>
      </c>
      <c r="G109" s="3">
        <v>3</v>
      </c>
      <c r="H109">
        <v>2400</v>
      </c>
      <c r="I109">
        <v>7200</v>
      </c>
    </row>
    <row r="110" spans="1:9" x14ac:dyDescent="0.35">
      <c r="A110" t="s">
        <v>149</v>
      </c>
      <c r="B110" s="4">
        <v>46125</v>
      </c>
      <c r="C110" s="3" t="s">
        <v>24</v>
      </c>
      <c r="D110" s="3" t="s">
        <v>16</v>
      </c>
      <c r="E110" t="s">
        <v>54</v>
      </c>
      <c r="F110" t="s">
        <v>55</v>
      </c>
      <c r="G110" s="3">
        <v>7</v>
      </c>
      <c r="H110">
        <v>20400</v>
      </c>
      <c r="I110">
        <v>142800</v>
      </c>
    </row>
    <row r="111" spans="1:9" x14ac:dyDescent="0.35">
      <c r="A111" t="s">
        <v>150</v>
      </c>
      <c r="B111" s="4">
        <v>46186</v>
      </c>
      <c r="C111" s="3" t="s">
        <v>15</v>
      </c>
      <c r="D111" s="3" t="s">
        <v>49</v>
      </c>
      <c r="E111" t="s">
        <v>32</v>
      </c>
      <c r="F111" t="s">
        <v>13</v>
      </c>
      <c r="G111" s="3">
        <v>7</v>
      </c>
      <c r="H111">
        <v>4800</v>
      </c>
      <c r="I111">
        <v>33600</v>
      </c>
    </row>
    <row r="112" spans="1:9" x14ac:dyDescent="0.35">
      <c r="A112" t="s">
        <v>151</v>
      </c>
      <c r="B112" s="4">
        <v>46164</v>
      </c>
      <c r="C112" s="3" t="s">
        <v>34</v>
      </c>
      <c r="D112" s="3" t="s">
        <v>25</v>
      </c>
      <c r="E112" t="s">
        <v>40</v>
      </c>
      <c r="F112" t="s">
        <v>13</v>
      </c>
      <c r="G112" s="3">
        <v>6</v>
      </c>
      <c r="H112">
        <v>6900</v>
      </c>
      <c r="I112">
        <v>41400</v>
      </c>
    </row>
    <row r="113" spans="1:9" x14ac:dyDescent="0.35">
      <c r="A113" t="s">
        <v>152</v>
      </c>
      <c r="B113" s="4">
        <v>46061</v>
      </c>
      <c r="C113" s="3" t="s">
        <v>46</v>
      </c>
      <c r="D113" s="3" t="s">
        <v>25</v>
      </c>
      <c r="E113" t="s">
        <v>37</v>
      </c>
      <c r="F113" t="s">
        <v>18</v>
      </c>
      <c r="G113" s="3">
        <v>5</v>
      </c>
      <c r="H113">
        <v>53600</v>
      </c>
      <c r="I113">
        <v>268000</v>
      </c>
    </row>
    <row r="114" spans="1:9" x14ac:dyDescent="0.35">
      <c r="A114" t="s">
        <v>153</v>
      </c>
      <c r="B114" s="4">
        <v>46189</v>
      </c>
      <c r="C114" s="3" t="s">
        <v>31</v>
      </c>
      <c r="D114" s="3" t="s">
        <v>16</v>
      </c>
      <c r="E114" t="s">
        <v>26</v>
      </c>
      <c r="F114" t="s">
        <v>18</v>
      </c>
      <c r="G114" s="3">
        <v>3</v>
      </c>
      <c r="H114">
        <v>75400</v>
      </c>
      <c r="I114">
        <v>226200</v>
      </c>
    </row>
    <row r="115" spans="1:9" x14ac:dyDescent="0.35">
      <c r="A115" t="s">
        <v>154</v>
      </c>
      <c r="B115" s="4">
        <v>46056</v>
      </c>
      <c r="C115" s="3" t="s">
        <v>65</v>
      </c>
      <c r="D115" s="3" t="s">
        <v>11</v>
      </c>
      <c r="E115" t="s">
        <v>63</v>
      </c>
      <c r="F115" t="s">
        <v>55</v>
      </c>
      <c r="G115" s="3">
        <v>6</v>
      </c>
      <c r="H115">
        <v>29500</v>
      </c>
      <c r="I115">
        <v>177000</v>
      </c>
    </row>
    <row r="116" spans="1:9" x14ac:dyDescent="0.35">
      <c r="A116" t="s">
        <v>155</v>
      </c>
      <c r="B116" s="4">
        <v>46188</v>
      </c>
      <c r="C116" s="3" t="s">
        <v>39</v>
      </c>
      <c r="D116" s="3" t="s">
        <v>49</v>
      </c>
      <c r="E116" t="s">
        <v>26</v>
      </c>
      <c r="F116" t="s">
        <v>18</v>
      </c>
      <c r="G116" s="3">
        <v>3</v>
      </c>
      <c r="H116">
        <v>74000</v>
      </c>
      <c r="I116">
        <v>222000</v>
      </c>
    </row>
    <row r="117" spans="1:9" x14ac:dyDescent="0.35">
      <c r="A117" t="s">
        <v>156</v>
      </c>
      <c r="B117" s="4">
        <v>46184</v>
      </c>
      <c r="C117" s="3" t="s">
        <v>15</v>
      </c>
      <c r="D117" s="3" t="s">
        <v>25</v>
      </c>
      <c r="E117" t="s">
        <v>63</v>
      </c>
      <c r="F117" t="s">
        <v>55</v>
      </c>
      <c r="G117" s="3">
        <v>2</v>
      </c>
      <c r="H117">
        <v>29600</v>
      </c>
      <c r="I117">
        <v>59200</v>
      </c>
    </row>
    <row r="118" spans="1:9" x14ac:dyDescent="0.35">
      <c r="A118" t="s">
        <v>157</v>
      </c>
      <c r="B118" s="4">
        <v>46127</v>
      </c>
      <c r="C118" s="3" t="s">
        <v>24</v>
      </c>
      <c r="D118" s="3" t="s">
        <v>36</v>
      </c>
      <c r="E118" t="s">
        <v>63</v>
      </c>
      <c r="F118" t="s">
        <v>55</v>
      </c>
      <c r="G118" s="3">
        <v>1</v>
      </c>
      <c r="H118">
        <v>27800</v>
      </c>
      <c r="I118">
        <v>27800</v>
      </c>
    </row>
    <row r="119" spans="1:9" x14ac:dyDescent="0.35">
      <c r="A119" t="s">
        <v>158</v>
      </c>
      <c r="B119" s="4">
        <v>46040</v>
      </c>
      <c r="C119" s="3" t="s">
        <v>10</v>
      </c>
      <c r="D119" s="3" t="s">
        <v>36</v>
      </c>
      <c r="E119" t="s">
        <v>61</v>
      </c>
      <c r="F119" t="s">
        <v>13</v>
      </c>
      <c r="G119" s="3">
        <v>2</v>
      </c>
      <c r="H119">
        <v>7500</v>
      </c>
      <c r="I119">
        <v>15000</v>
      </c>
    </row>
    <row r="120" spans="1:9" x14ac:dyDescent="0.35">
      <c r="A120" t="s">
        <v>159</v>
      </c>
      <c r="B120" s="4">
        <v>46196</v>
      </c>
      <c r="C120" s="3" t="s">
        <v>20</v>
      </c>
      <c r="D120" s="3" t="s">
        <v>49</v>
      </c>
      <c r="E120" t="s">
        <v>37</v>
      </c>
      <c r="F120" t="s">
        <v>18</v>
      </c>
      <c r="G120" s="3">
        <v>1</v>
      </c>
      <c r="H120">
        <v>56700</v>
      </c>
      <c r="I120">
        <v>56700</v>
      </c>
    </row>
    <row r="121" spans="1:9" x14ac:dyDescent="0.35">
      <c r="A121" t="s">
        <v>160</v>
      </c>
      <c r="B121" s="4">
        <v>46167</v>
      </c>
      <c r="C121" s="3" t="s">
        <v>31</v>
      </c>
      <c r="D121" s="3" t="s">
        <v>74</v>
      </c>
      <c r="E121" t="s">
        <v>32</v>
      </c>
      <c r="F121" t="s">
        <v>13</v>
      </c>
      <c r="G121" s="3">
        <v>3</v>
      </c>
      <c r="H121">
        <v>3900</v>
      </c>
      <c r="I121">
        <v>11700</v>
      </c>
    </row>
    <row r="122" spans="1:9" x14ac:dyDescent="0.35">
      <c r="A122" t="s">
        <v>161</v>
      </c>
      <c r="B122" s="4">
        <v>46129</v>
      </c>
      <c r="C122" s="3" t="s">
        <v>15</v>
      </c>
      <c r="D122" s="3" t="s">
        <v>74</v>
      </c>
      <c r="E122" t="s">
        <v>12</v>
      </c>
      <c r="F122" t="s">
        <v>13</v>
      </c>
      <c r="G122" s="3">
        <v>2</v>
      </c>
      <c r="H122">
        <v>2500</v>
      </c>
      <c r="I122">
        <v>5000</v>
      </c>
    </row>
    <row r="123" spans="1:9" x14ac:dyDescent="0.35">
      <c r="A123" t="s">
        <v>162</v>
      </c>
      <c r="B123" s="4">
        <v>46198</v>
      </c>
      <c r="C123" s="3" t="s">
        <v>65</v>
      </c>
      <c r="D123" s="3" t="s">
        <v>36</v>
      </c>
      <c r="E123" t="s">
        <v>32</v>
      </c>
      <c r="F123" t="s">
        <v>13</v>
      </c>
      <c r="G123" s="3">
        <v>3</v>
      </c>
      <c r="H123">
        <v>5100</v>
      </c>
      <c r="I123">
        <v>15300</v>
      </c>
    </row>
    <row r="124" spans="1:9" x14ac:dyDescent="0.35">
      <c r="A124" t="s">
        <v>163</v>
      </c>
      <c r="B124" s="4">
        <v>46042</v>
      </c>
      <c r="C124" s="3" t="s">
        <v>39</v>
      </c>
      <c r="D124" s="3" t="s">
        <v>49</v>
      </c>
      <c r="E124" t="s">
        <v>40</v>
      </c>
      <c r="F124" t="s">
        <v>13</v>
      </c>
      <c r="G124" s="3">
        <v>7</v>
      </c>
      <c r="H124">
        <v>6100</v>
      </c>
      <c r="I124">
        <v>42700</v>
      </c>
    </row>
    <row r="125" spans="1:9" x14ac:dyDescent="0.35">
      <c r="A125" t="s">
        <v>164</v>
      </c>
      <c r="B125" s="4">
        <v>46128</v>
      </c>
      <c r="C125" s="3" t="s">
        <v>10</v>
      </c>
      <c r="D125" s="3" t="s">
        <v>25</v>
      </c>
      <c r="E125" t="s">
        <v>17</v>
      </c>
      <c r="F125" t="s">
        <v>18</v>
      </c>
      <c r="G125" s="3">
        <v>8</v>
      </c>
      <c r="H125">
        <v>33000</v>
      </c>
      <c r="I125">
        <v>264000</v>
      </c>
    </row>
    <row r="126" spans="1:9" x14ac:dyDescent="0.35">
      <c r="A126" t="s">
        <v>165</v>
      </c>
      <c r="B126" s="4">
        <v>46095</v>
      </c>
      <c r="C126" s="3" t="s">
        <v>51</v>
      </c>
      <c r="D126" s="3" t="s">
        <v>16</v>
      </c>
      <c r="E126" t="s">
        <v>54</v>
      </c>
      <c r="F126" t="s">
        <v>55</v>
      </c>
      <c r="G126" s="3">
        <v>3</v>
      </c>
      <c r="H126">
        <v>21100</v>
      </c>
      <c r="I126">
        <v>63300</v>
      </c>
    </row>
    <row r="127" spans="1:9" x14ac:dyDescent="0.35">
      <c r="A127" t="s">
        <v>166</v>
      </c>
      <c r="B127" s="4">
        <v>46139</v>
      </c>
      <c r="C127" s="3" t="s">
        <v>65</v>
      </c>
      <c r="D127" s="3" t="s">
        <v>74</v>
      </c>
      <c r="E127" t="s">
        <v>32</v>
      </c>
      <c r="F127" t="s">
        <v>13</v>
      </c>
      <c r="G127" s="3">
        <v>6</v>
      </c>
      <c r="H127">
        <v>4200</v>
      </c>
      <c r="I127">
        <v>25200</v>
      </c>
    </row>
    <row r="128" spans="1:9" x14ac:dyDescent="0.35">
      <c r="A128" t="s">
        <v>167</v>
      </c>
      <c r="B128" s="4">
        <v>46128</v>
      </c>
      <c r="C128" s="3" t="s">
        <v>31</v>
      </c>
      <c r="D128" s="3" t="s">
        <v>49</v>
      </c>
      <c r="E128" t="s">
        <v>12</v>
      </c>
      <c r="F128" t="s">
        <v>13</v>
      </c>
      <c r="G128" s="3">
        <v>7</v>
      </c>
      <c r="H128">
        <v>2300</v>
      </c>
      <c r="I128">
        <v>16100</v>
      </c>
    </row>
    <row r="129" spans="1:9" x14ac:dyDescent="0.35">
      <c r="A129" t="s">
        <v>168</v>
      </c>
      <c r="B129" s="4">
        <v>46024</v>
      </c>
      <c r="C129" s="3" t="s">
        <v>15</v>
      </c>
      <c r="D129" s="3" t="s">
        <v>74</v>
      </c>
      <c r="E129" t="s">
        <v>12</v>
      </c>
      <c r="F129" t="s">
        <v>13</v>
      </c>
      <c r="G129" s="3">
        <v>1</v>
      </c>
      <c r="H129">
        <v>2700</v>
      </c>
      <c r="I129">
        <v>2700</v>
      </c>
    </row>
    <row r="130" spans="1:9" x14ac:dyDescent="0.35">
      <c r="A130" t="s">
        <v>169</v>
      </c>
      <c r="B130" s="4">
        <v>46103</v>
      </c>
      <c r="C130" s="3" t="s">
        <v>31</v>
      </c>
      <c r="D130" s="3" t="s">
        <v>25</v>
      </c>
      <c r="E130" t="s">
        <v>54</v>
      </c>
      <c r="F130" t="s">
        <v>55</v>
      </c>
      <c r="G130" s="3">
        <v>1</v>
      </c>
      <c r="H130">
        <v>19900</v>
      </c>
      <c r="I130">
        <v>19900</v>
      </c>
    </row>
    <row r="131" spans="1:9" x14ac:dyDescent="0.35">
      <c r="A131" t="s">
        <v>170</v>
      </c>
      <c r="B131" s="4">
        <v>46090</v>
      </c>
      <c r="C131" s="3" t="s">
        <v>34</v>
      </c>
      <c r="D131" s="3" t="s">
        <v>36</v>
      </c>
      <c r="E131" t="s">
        <v>17</v>
      </c>
      <c r="F131" t="s">
        <v>18</v>
      </c>
      <c r="G131" s="3">
        <v>4</v>
      </c>
      <c r="H131">
        <v>36300</v>
      </c>
      <c r="I131">
        <v>145200</v>
      </c>
    </row>
    <row r="132" spans="1:9" x14ac:dyDescent="0.35">
      <c r="A132" t="s">
        <v>171</v>
      </c>
      <c r="B132" s="4">
        <v>46184</v>
      </c>
      <c r="C132" s="3" t="s">
        <v>46</v>
      </c>
      <c r="D132" s="3" t="s">
        <v>49</v>
      </c>
      <c r="E132" t="s">
        <v>32</v>
      </c>
      <c r="F132" t="s">
        <v>13</v>
      </c>
      <c r="G132" s="3">
        <v>2</v>
      </c>
      <c r="H132">
        <v>4500</v>
      </c>
      <c r="I132">
        <v>9000</v>
      </c>
    </row>
    <row r="133" spans="1:9" x14ac:dyDescent="0.35">
      <c r="A133" t="s">
        <v>172</v>
      </c>
      <c r="B133" s="4">
        <v>46107</v>
      </c>
      <c r="C133" s="3" t="s">
        <v>31</v>
      </c>
      <c r="D133" s="3" t="s">
        <v>36</v>
      </c>
      <c r="E133" t="s">
        <v>17</v>
      </c>
      <c r="F133" t="s">
        <v>18</v>
      </c>
      <c r="G133" s="3">
        <v>3</v>
      </c>
      <c r="H133">
        <v>30000</v>
      </c>
      <c r="I133">
        <v>90000</v>
      </c>
    </row>
    <row r="134" spans="1:9" x14ac:dyDescent="0.35">
      <c r="A134" t="s">
        <v>173</v>
      </c>
      <c r="B134" s="4">
        <v>46089</v>
      </c>
      <c r="C134" s="3" t="s">
        <v>29</v>
      </c>
      <c r="D134" s="3" t="s">
        <v>16</v>
      </c>
      <c r="E134" t="s">
        <v>63</v>
      </c>
      <c r="F134" t="s">
        <v>55</v>
      </c>
      <c r="G134" s="3">
        <v>1</v>
      </c>
      <c r="H134">
        <v>29800</v>
      </c>
      <c r="I134">
        <v>29800</v>
      </c>
    </row>
    <row r="135" spans="1:9" x14ac:dyDescent="0.35">
      <c r="A135" t="s">
        <v>174</v>
      </c>
      <c r="B135" s="4">
        <v>46091</v>
      </c>
      <c r="C135" s="3" t="s">
        <v>51</v>
      </c>
      <c r="D135" s="3" t="s">
        <v>36</v>
      </c>
      <c r="E135" t="s">
        <v>12</v>
      </c>
      <c r="F135" t="s">
        <v>13</v>
      </c>
      <c r="G135" s="3">
        <v>5</v>
      </c>
      <c r="H135">
        <v>2700</v>
      </c>
      <c r="I135">
        <v>13500</v>
      </c>
    </row>
    <row r="136" spans="1:9" x14ac:dyDescent="0.35">
      <c r="A136" t="s">
        <v>175</v>
      </c>
      <c r="B136" s="4">
        <v>46148</v>
      </c>
      <c r="C136" s="3" t="s">
        <v>20</v>
      </c>
      <c r="D136" s="3" t="s">
        <v>25</v>
      </c>
      <c r="E136" t="s">
        <v>21</v>
      </c>
      <c r="F136" t="s">
        <v>22</v>
      </c>
      <c r="G136" s="3">
        <v>3</v>
      </c>
      <c r="H136">
        <v>31000</v>
      </c>
      <c r="I136">
        <v>93000</v>
      </c>
    </row>
    <row r="137" spans="1:9" x14ac:dyDescent="0.35">
      <c r="A137" t="s">
        <v>176</v>
      </c>
      <c r="B137" s="4">
        <v>46145</v>
      </c>
      <c r="C137" s="3" t="s">
        <v>29</v>
      </c>
      <c r="D137" s="3" t="s">
        <v>25</v>
      </c>
      <c r="E137" t="s">
        <v>17</v>
      </c>
      <c r="F137" t="s">
        <v>18</v>
      </c>
      <c r="G137" s="3">
        <v>2</v>
      </c>
      <c r="H137">
        <v>29800</v>
      </c>
      <c r="I137">
        <v>59600</v>
      </c>
    </row>
    <row r="138" spans="1:9" x14ac:dyDescent="0.35">
      <c r="A138" t="s">
        <v>177</v>
      </c>
      <c r="B138" s="4">
        <v>46164</v>
      </c>
      <c r="C138" s="3" t="s">
        <v>10</v>
      </c>
      <c r="D138" s="3" t="s">
        <v>11</v>
      </c>
      <c r="E138" t="s">
        <v>54</v>
      </c>
      <c r="F138" t="s">
        <v>55</v>
      </c>
      <c r="G138" s="3">
        <v>1</v>
      </c>
      <c r="H138">
        <v>23100</v>
      </c>
      <c r="I138">
        <v>23100</v>
      </c>
    </row>
    <row r="139" spans="1:9" x14ac:dyDescent="0.35">
      <c r="A139" t="s">
        <v>178</v>
      </c>
      <c r="B139" s="4">
        <v>46089</v>
      </c>
      <c r="C139" s="3" t="s">
        <v>39</v>
      </c>
      <c r="D139" s="3" t="s">
        <v>49</v>
      </c>
      <c r="E139" t="s">
        <v>61</v>
      </c>
      <c r="F139" t="s">
        <v>13</v>
      </c>
      <c r="G139" s="3">
        <v>4</v>
      </c>
      <c r="H139">
        <v>7700</v>
      </c>
      <c r="I139">
        <v>30800</v>
      </c>
    </row>
    <row r="140" spans="1:9" x14ac:dyDescent="0.35">
      <c r="A140" t="s">
        <v>179</v>
      </c>
      <c r="B140" s="4">
        <v>46093</v>
      </c>
      <c r="C140" s="3" t="s">
        <v>29</v>
      </c>
      <c r="D140" s="3" t="s">
        <v>11</v>
      </c>
      <c r="E140" t="s">
        <v>32</v>
      </c>
      <c r="F140" t="s">
        <v>13</v>
      </c>
      <c r="G140" s="3">
        <v>5</v>
      </c>
      <c r="H140">
        <v>4000</v>
      </c>
      <c r="I140">
        <v>20000</v>
      </c>
    </row>
    <row r="141" spans="1:9" x14ac:dyDescent="0.35">
      <c r="A141" t="s">
        <v>180</v>
      </c>
      <c r="B141" s="4">
        <v>46051</v>
      </c>
      <c r="C141" s="3" t="s">
        <v>39</v>
      </c>
      <c r="D141" s="3" t="s">
        <v>49</v>
      </c>
      <c r="E141" t="s">
        <v>26</v>
      </c>
      <c r="F141" t="s">
        <v>18</v>
      </c>
      <c r="G141" s="3">
        <v>6</v>
      </c>
      <c r="H141">
        <v>84700</v>
      </c>
      <c r="I141">
        <v>508200</v>
      </c>
    </row>
    <row r="142" spans="1:9" x14ac:dyDescent="0.35">
      <c r="A142" t="s">
        <v>181</v>
      </c>
      <c r="B142" s="4">
        <v>46090</v>
      </c>
      <c r="C142" s="3" t="s">
        <v>31</v>
      </c>
      <c r="D142" s="3" t="s">
        <v>36</v>
      </c>
      <c r="E142" t="s">
        <v>17</v>
      </c>
      <c r="F142" t="s">
        <v>18</v>
      </c>
      <c r="G142" s="3">
        <v>5</v>
      </c>
      <c r="H142">
        <v>31600</v>
      </c>
      <c r="I142">
        <v>158000</v>
      </c>
    </row>
    <row r="143" spans="1:9" x14ac:dyDescent="0.35">
      <c r="A143" t="s">
        <v>182</v>
      </c>
      <c r="B143" s="4">
        <v>46098</v>
      </c>
      <c r="C143" s="3" t="s">
        <v>65</v>
      </c>
      <c r="D143" s="3" t="s">
        <v>36</v>
      </c>
      <c r="E143" t="s">
        <v>37</v>
      </c>
      <c r="F143" t="s">
        <v>18</v>
      </c>
      <c r="G143" s="3">
        <v>8</v>
      </c>
      <c r="H143">
        <v>49300</v>
      </c>
      <c r="I143">
        <v>394400</v>
      </c>
    </row>
    <row r="144" spans="1:9" x14ac:dyDescent="0.35">
      <c r="A144" t="s">
        <v>183</v>
      </c>
      <c r="B144" s="4">
        <v>46072</v>
      </c>
      <c r="C144" s="3" t="s">
        <v>39</v>
      </c>
      <c r="D144" s="3" t="s">
        <v>49</v>
      </c>
      <c r="E144" t="s">
        <v>17</v>
      </c>
      <c r="F144" t="s">
        <v>18</v>
      </c>
      <c r="G144" s="3">
        <v>2</v>
      </c>
      <c r="H144">
        <v>35300</v>
      </c>
      <c r="I144">
        <v>70600</v>
      </c>
    </row>
    <row r="145" spans="1:9" x14ac:dyDescent="0.35">
      <c r="A145" t="s">
        <v>184</v>
      </c>
      <c r="B145" s="4">
        <v>46075</v>
      </c>
      <c r="C145" s="3" t="s">
        <v>44</v>
      </c>
      <c r="D145" s="3" t="s">
        <v>74</v>
      </c>
      <c r="E145" t="s">
        <v>54</v>
      </c>
      <c r="F145" t="s">
        <v>55</v>
      </c>
      <c r="G145" s="3">
        <v>8</v>
      </c>
      <c r="H145">
        <v>19500</v>
      </c>
      <c r="I145">
        <v>156000</v>
      </c>
    </row>
    <row r="146" spans="1:9" x14ac:dyDescent="0.35">
      <c r="A146" t="s">
        <v>185</v>
      </c>
      <c r="B146" s="4">
        <v>46056</v>
      </c>
      <c r="C146" s="3" t="s">
        <v>46</v>
      </c>
      <c r="D146" s="3" t="s">
        <v>36</v>
      </c>
      <c r="E146" t="s">
        <v>17</v>
      </c>
      <c r="F146" t="s">
        <v>18</v>
      </c>
      <c r="G146" s="3">
        <v>1</v>
      </c>
      <c r="H146">
        <v>38500</v>
      </c>
      <c r="I146">
        <v>38500</v>
      </c>
    </row>
    <row r="147" spans="1:9" x14ac:dyDescent="0.35">
      <c r="A147" t="s">
        <v>186</v>
      </c>
      <c r="B147" s="4">
        <v>46114</v>
      </c>
      <c r="C147" s="3" t="s">
        <v>29</v>
      </c>
      <c r="D147" s="3" t="s">
        <v>11</v>
      </c>
      <c r="E147" t="s">
        <v>12</v>
      </c>
      <c r="F147" t="s">
        <v>13</v>
      </c>
      <c r="G147" s="3">
        <v>4</v>
      </c>
      <c r="H147">
        <v>2600</v>
      </c>
      <c r="I147">
        <v>10400</v>
      </c>
    </row>
    <row r="148" spans="1:9" x14ac:dyDescent="0.35">
      <c r="A148" t="s">
        <v>187</v>
      </c>
      <c r="B148" s="4">
        <v>46184</v>
      </c>
      <c r="C148" s="3" t="s">
        <v>51</v>
      </c>
      <c r="D148" s="3" t="s">
        <v>36</v>
      </c>
      <c r="E148" t="s">
        <v>63</v>
      </c>
      <c r="F148" t="s">
        <v>55</v>
      </c>
      <c r="G148" s="3">
        <v>1</v>
      </c>
      <c r="H148">
        <v>31200</v>
      </c>
      <c r="I148">
        <v>31200</v>
      </c>
    </row>
    <row r="149" spans="1:9" x14ac:dyDescent="0.35">
      <c r="A149" t="s">
        <v>188</v>
      </c>
      <c r="B149" s="4">
        <v>46141</v>
      </c>
      <c r="C149" s="3" t="s">
        <v>44</v>
      </c>
      <c r="D149" s="3" t="s">
        <v>49</v>
      </c>
      <c r="E149" t="s">
        <v>12</v>
      </c>
      <c r="F149" t="s">
        <v>13</v>
      </c>
      <c r="G149" s="3">
        <v>2</v>
      </c>
      <c r="H149">
        <v>2600</v>
      </c>
      <c r="I149">
        <v>5200</v>
      </c>
    </row>
    <row r="150" spans="1:9" x14ac:dyDescent="0.35">
      <c r="A150" t="s">
        <v>189</v>
      </c>
      <c r="B150" s="4">
        <v>46058</v>
      </c>
      <c r="C150" s="3" t="s">
        <v>65</v>
      </c>
      <c r="D150" s="3" t="s">
        <v>49</v>
      </c>
      <c r="E150" t="s">
        <v>21</v>
      </c>
      <c r="F150" t="s">
        <v>22</v>
      </c>
      <c r="G150" s="3">
        <v>7</v>
      </c>
      <c r="H150">
        <v>26400</v>
      </c>
      <c r="I150">
        <v>184800</v>
      </c>
    </row>
    <row r="151" spans="1:9" x14ac:dyDescent="0.35">
      <c r="A151" t="s">
        <v>190</v>
      </c>
      <c r="B151" s="4">
        <v>46190</v>
      </c>
      <c r="C151" s="3" t="s">
        <v>15</v>
      </c>
      <c r="D151" s="3" t="s">
        <v>74</v>
      </c>
      <c r="E151" t="s">
        <v>63</v>
      </c>
      <c r="F151" t="s">
        <v>55</v>
      </c>
      <c r="G151" s="3">
        <v>8</v>
      </c>
      <c r="H151">
        <v>27900</v>
      </c>
      <c r="I151">
        <v>223200</v>
      </c>
    </row>
    <row r="152" spans="1:9" x14ac:dyDescent="0.35">
      <c r="A152" t="s">
        <v>191</v>
      </c>
      <c r="B152" s="4">
        <v>46164</v>
      </c>
      <c r="C152" s="3" t="s">
        <v>34</v>
      </c>
      <c r="D152" s="3" t="s">
        <v>74</v>
      </c>
      <c r="E152" t="s">
        <v>54</v>
      </c>
      <c r="F152" t="s">
        <v>55</v>
      </c>
      <c r="G152" s="3">
        <v>6</v>
      </c>
      <c r="H152">
        <v>19500</v>
      </c>
      <c r="I152">
        <v>117000</v>
      </c>
    </row>
    <row r="153" spans="1:9" x14ac:dyDescent="0.35">
      <c r="A153" t="s">
        <v>192</v>
      </c>
      <c r="B153" s="4">
        <v>46167</v>
      </c>
      <c r="C153" s="3" t="s">
        <v>24</v>
      </c>
      <c r="D153" s="3" t="s">
        <v>25</v>
      </c>
      <c r="E153" t="s">
        <v>37</v>
      </c>
      <c r="F153" t="s">
        <v>18</v>
      </c>
      <c r="G153" s="3">
        <v>6</v>
      </c>
      <c r="H153">
        <v>56800</v>
      </c>
      <c r="I153">
        <v>340800</v>
      </c>
    </row>
    <row r="154" spans="1:9" x14ac:dyDescent="0.35">
      <c r="A154" t="s">
        <v>193</v>
      </c>
      <c r="B154" s="4">
        <v>46065</v>
      </c>
      <c r="C154" s="3" t="s">
        <v>24</v>
      </c>
      <c r="D154" s="3" t="s">
        <v>74</v>
      </c>
      <c r="E154" t="s">
        <v>21</v>
      </c>
      <c r="F154" t="s">
        <v>22</v>
      </c>
      <c r="G154" s="3">
        <v>2</v>
      </c>
      <c r="H154">
        <v>31800</v>
      </c>
      <c r="I154">
        <v>63600</v>
      </c>
    </row>
    <row r="155" spans="1:9" x14ac:dyDescent="0.35">
      <c r="A155" t="s">
        <v>194</v>
      </c>
      <c r="B155" s="4">
        <v>46181</v>
      </c>
      <c r="C155" s="3" t="s">
        <v>31</v>
      </c>
      <c r="D155" s="3" t="s">
        <v>11</v>
      </c>
      <c r="E155" t="s">
        <v>26</v>
      </c>
      <c r="F155" t="s">
        <v>18</v>
      </c>
      <c r="G155" s="3">
        <v>3</v>
      </c>
      <c r="H155">
        <v>76300</v>
      </c>
      <c r="I155">
        <v>228900</v>
      </c>
    </row>
    <row r="156" spans="1:9" x14ac:dyDescent="0.35">
      <c r="A156" t="s">
        <v>195</v>
      </c>
      <c r="B156" s="4">
        <v>46190</v>
      </c>
      <c r="C156" s="3" t="s">
        <v>31</v>
      </c>
      <c r="D156" s="3" t="s">
        <v>36</v>
      </c>
      <c r="E156" t="s">
        <v>63</v>
      </c>
      <c r="F156" t="s">
        <v>55</v>
      </c>
      <c r="G156" s="3">
        <v>5</v>
      </c>
      <c r="H156">
        <v>26000</v>
      </c>
      <c r="I156">
        <v>130000</v>
      </c>
    </row>
    <row r="157" spans="1:9" x14ac:dyDescent="0.35">
      <c r="A157" t="s">
        <v>196</v>
      </c>
      <c r="B157" s="4">
        <v>46106</v>
      </c>
      <c r="C157" s="3" t="s">
        <v>39</v>
      </c>
      <c r="D157" s="3" t="s">
        <v>16</v>
      </c>
      <c r="E157" t="s">
        <v>21</v>
      </c>
      <c r="F157" t="s">
        <v>22</v>
      </c>
      <c r="G157" s="3">
        <v>6</v>
      </c>
      <c r="H157">
        <v>28400</v>
      </c>
      <c r="I157">
        <v>170400</v>
      </c>
    </row>
    <row r="158" spans="1:9" x14ac:dyDescent="0.35">
      <c r="A158" t="s">
        <v>197</v>
      </c>
      <c r="B158" s="4">
        <v>46100</v>
      </c>
      <c r="C158" s="3" t="s">
        <v>29</v>
      </c>
      <c r="D158" s="3" t="s">
        <v>25</v>
      </c>
      <c r="E158" t="s">
        <v>40</v>
      </c>
      <c r="F158" t="s">
        <v>13</v>
      </c>
      <c r="G158" s="3">
        <v>1</v>
      </c>
      <c r="H158">
        <v>7000</v>
      </c>
      <c r="I158">
        <v>7000</v>
      </c>
    </row>
    <row r="159" spans="1:9" x14ac:dyDescent="0.35">
      <c r="A159" t="s">
        <v>198</v>
      </c>
      <c r="B159" s="4">
        <v>46159</v>
      </c>
      <c r="C159" s="3" t="s">
        <v>10</v>
      </c>
      <c r="D159" s="3" t="s">
        <v>16</v>
      </c>
      <c r="E159" t="s">
        <v>63</v>
      </c>
      <c r="F159" t="s">
        <v>55</v>
      </c>
      <c r="G159" s="3">
        <v>5</v>
      </c>
      <c r="H159">
        <v>28100</v>
      </c>
      <c r="I159">
        <v>140500</v>
      </c>
    </row>
    <row r="160" spans="1:9" x14ac:dyDescent="0.35">
      <c r="A160" t="s">
        <v>199</v>
      </c>
      <c r="B160" s="4">
        <v>46035</v>
      </c>
      <c r="C160" s="3" t="s">
        <v>34</v>
      </c>
      <c r="D160" s="3" t="s">
        <v>49</v>
      </c>
      <c r="E160" t="s">
        <v>26</v>
      </c>
      <c r="F160" t="s">
        <v>18</v>
      </c>
      <c r="G160" s="3">
        <v>4</v>
      </c>
      <c r="H160">
        <v>79500</v>
      </c>
      <c r="I160">
        <v>318000</v>
      </c>
    </row>
    <row r="161" spans="1:9" x14ac:dyDescent="0.35">
      <c r="A161" t="s">
        <v>200</v>
      </c>
      <c r="B161" s="4">
        <v>46164</v>
      </c>
      <c r="C161" s="3" t="s">
        <v>44</v>
      </c>
      <c r="D161" s="3" t="s">
        <v>16</v>
      </c>
      <c r="E161" t="s">
        <v>40</v>
      </c>
      <c r="F161" t="s">
        <v>13</v>
      </c>
      <c r="G161" s="3">
        <v>3</v>
      </c>
      <c r="H161">
        <v>7000</v>
      </c>
      <c r="I161">
        <v>21000</v>
      </c>
    </row>
    <row r="162" spans="1:9" x14ac:dyDescent="0.35">
      <c r="A162" t="s">
        <v>201</v>
      </c>
      <c r="B162" s="4">
        <v>46100</v>
      </c>
      <c r="C162" s="3" t="s">
        <v>15</v>
      </c>
      <c r="D162" s="3" t="s">
        <v>74</v>
      </c>
      <c r="E162" t="s">
        <v>54</v>
      </c>
      <c r="F162" t="s">
        <v>55</v>
      </c>
      <c r="G162" s="3">
        <v>5</v>
      </c>
      <c r="H162">
        <v>19500</v>
      </c>
      <c r="I162">
        <v>97500</v>
      </c>
    </row>
    <row r="163" spans="1:9" x14ac:dyDescent="0.35">
      <c r="A163" t="s">
        <v>202</v>
      </c>
      <c r="B163" s="4">
        <v>46132</v>
      </c>
      <c r="C163" s="3" t="s">
        <v>65</v>
      </c>
      <c r="D163" s="3" t="s">
        <v>11</v>
      </c>
      <c r="E163" t="s">
        <v>32</v>
      </c>
      <c r="F163" t="s">
        <v>13</v>
      </c>
      <c r="G163" s="3">
        <v>8</v>
      </c>
      <c r="H163">
        <v>4400</v>
      </c>
      <c r="I163">
        <v>35200</v>
      </c>
    </row>
    <row r="164" spans="1:9" x14ac:dyDescent="0.35">
      <c r="A164" t="s">
        <v>203</v>
      </c>
      <c r="B164" s="4">
        <v>46094</v>
      </c>
      <c r="C164" s="3" t="s">
        <v>31</v>
      </c>
      <c r="D164" s="3" t="s">
        <v>16</v>
      </c>
      <c r="E164" t="s">
        <v>63</v>
      </c>
      <c r="F164" t="s">
        <v>55</v>
      </c>
      <c r="G164" s="3">
        <v>4</v>
      </c>
      <c r="H164">
        <v>25800</v>
      </c>
      <c r="I164">
        <v>103200</v>
      </c>
    </row>
    <row r="165" spans="1:9" x14ac:dyDescent="0.35">
      <c r="A165" t="s">
        <v>204</v>
      </c>
      <c r="B165" s="4">
        <v>46069</v>
      </c>
      <c r="C165" s="3" t="s">
        <v>24</v>
      </c>
      <c r="D165" s="3" t="s">
        <v>16</v>
      </c>
      <c r="E165" t="s">
        <v>26</v>
      </c>
      <c r="F165" t="s">
        <v>18</v>
      </c>
      <c r="G165" s="3">
        <v>3</v>
      </c>
      <c r="H165">
        <v>78800</v>
      </c>
      <c r="I165">
        <v>236400</v>
      </c>
    </row>
    <row r="166" spans="1:9" x14ac:dyDescent="0.35">
      <c r="A166" t="s">
        <v>205</v>
      </c>
      <c r="B166" s="4">
        <v>46041</v>
      </c>
      <c r="C166" s="3" t="s">
        <v>31</v>
      </c>
      <c r="D166" s="3" t="s">
        <v>25</v>
      </c>
      <c r="E166" t="s">
        <v>26</v>
      </c>
      <c r="F166" t="s">
        <v>18</v>
      </c>
      <c r="G166" s="3">
        <v>6</v>
      </c>
      <c r="H166">
        <v>77900</v>
      </c>
      <c r="I166">
        <v>467400</v>
      </c>
    </row>
    <row r="167" spans="1:9" x14ac:dyDescent="0.35">
      <c r="A167" t="s">
        <v>206</v>
      </c>
      <c r="B167" s="4">
        <v>46140</v>
      </c>
      <c r="C167" s="3" t="s">
        <v>24</v>
      </c>
      <c r="D167" s="3" t="s">
        <v>11</v>
      </c>
      <c r="E167" t="s">
        <v>17</v>
      </c>
      <c r="F167" t="s">
        <v>18</v>
      </c>
      <c r="G167" s="3">
        <v>3</v>
      </c>
      <c r="H167">
        <v>31800</v>
      </c>
      <c r="I167">
        <v>95400</v>
      </c>
    </row>
    <row r="168" spans="1:9" x14ac:dyDescent="0.35">
      <c r="A168" t="s">
        <v>207</v>
      </c>
      <c r="B168" s="4">
        <v>46162</v>
      </c>
      <c r="C168" s="3" t="s">
        <v>31</v>
      </c>
      <c r="D168" s="3" t="s">
        <v>16</v>
      </c>
      <c r="E168" t="s">
        <v>54</v>
      </c>
      <c r="F168" t="s">
        <v>55</v>
      </c>
      <c r="G168" s="3">
        <v>4</v>
      </c>
      <c r="H168">
        <v>22900</v>
      </c>
      <c r="I168">
        <v>91600</v>
      </c>
    </row>
    <row r="169" spans="1:9" x14ac:dyDescent="0.35">
      <c r="A169" t="s">
        <v>208</v>
      </c>
      <c r="B169" s="4">
        <v>46191</v>
      </c>
      <c r="C169" s="3" t="s">
        <v>10</v>
      </c>
      <c r="D169" s="3" t="s">
        <v>25</v>
      </c>
      <c r="E169" t="s">
        <v>40</v>
      </c>
      <c r="F169" t="s">
        <v>13</v>
      </c>
      <c r="G169" s="3">
        <v>1</v>
      </c>
      <c r="H169">
        <v>7200</v>
      </c>
      <c r="I169">
        <v>7200</v>
      </c>
    </row>
    <row r="170" spans="1:9" x14ac:dyDescent="0.35">
      <c r="A170" t="s">
        <v>209</v>
      </c>
      <c r="B170" s="4">
        <v>46024</v>
      </c>
      <c r="C170" s="3" t="s">
        <v>15</v>
      </c>
      <c r="D170" s="3" t="s">
        <v>74</v>
      </c>
      <c r="E170" t="s">
        <v>54</v>
      </c>
      <c r="F170" t="s">
        <v>55</v>
      </c>
      <c r="G170" s="3">
        <v>3</v>
      </c>
      <c r="H170">
        <v>19500</v>
      </c>
      <c r="I170">
        <v>58500</v>
      </c>
    </row>
    <row r="171" spans="1:9" x14ac:dyDescent="0.35">
      <c r="A171" t="s">
        <v>210</v>
      </c>
      <c r="B171" s="4">
        <v>46136</v>
      </c>
      <c r="C171" s="3" t="s">
        <v>39</v>
      </c>
      <c r="D171" s="3" t="s">
        <v>16</v>
      </c>
      <c r="E171" t="s">
        <v>61</v>
      </c>
      <c r="F171" t="s">
        <v>13</v>
      </c>
      <c r="G171" s="3">
        <v>7</v>
      </c>
      <c r="H171">
        <v>7200</v>
      </c>
      <c r="I171">
        <v>50400</v>
      </c>
    </row>
    <row r="172" spans="1:9" x14ac:dyDescent="0.35">
      <c r="A172" t="s">
        <v>211</v>
      </c>
      <c r="B172" s="4">
        <v>46054</v>
      </c>
      <c r="C172" s="3" t="s">
        <v>65</v>
      </c>
      <c r="D172" s="3" t="s">
        <v>25</v>
      </c>
      <c r="E172" t="s">
        <v>32</v>
      </c>
      <c r="F172" t="s">
        <v>13</v>
      </c>
      <c r="G172" s="3">
        <v>6</v>
      </c>
      <c r="H172">
        <v>4500</v>
      </c>
      <c r="I172">
        <v>27000</v>
      </c>
    </row>
    <row r="173" spans="1:9" x14ac:dyDescent="0.35">
      <c r="A173" t="s">
        <v>212</v>
      </c>
      <c r="B173" s="4">
        <v>46133</v>
      </c>
      <c r="C173" s="3" t="s">
        <v>29</v>
      </c>
      <c r="D173" s="3" t="s">
        <v>36</v>
      </c>
      <c r="E173" t="s">
        <v>37</v>
      </c>
      <c r="F173" t="s">
        <v>18</v>
      </c>
      <c r="G173" s="3">
        <v>6</v>
      </c>
      <c r="H173">
        <v>62700</v>
      </c>
      <c r="I173">
        <v>376200</v>
      </c>
    </row>
    <row r="174" spans="1:9" x14ac:dyDescent="0.35">
      <c r="A174" t="s">
        <v>213</v>
      </c>
      <c r="B174" s="4">
        <v>46203</v>
      </c>
      <c r="C174" s="3" t="s">
        <v>65</v>
      </c>
      <c r="D174" s="3" t="s">
        <v>25</v>
      </c>
      <c r="E174" t="s">
        <v>63</v>
      </c>
      <c r="F174" t="s">
        <v>55</v>
      </c>
      <c r="G174" s="3">
        <v>7</v>
      </c>
      <c r="H174">
        <v>29000</v>
      </c>
      <c r="I174">
        <v>203000</v>
      </c>
    </row>
    <row r="175" spans="1:9" x14ac:dyDescent="0.35">
      <c r="A175" t="s">
        <v>214</v>
      </c>
      <c r="B175" s="4">
        <v>46201</v>
      </c>
      <c r="C175" s="3" t="s">
        <v>34</v>
      </c>
      <c r="D175" s="3" t="s">
        <v>16</v>
      </c>
      <c r="E175" t="s">
        <v>21</v>
      </c>
      <c r="F175" t="s">
        <v>22</v>
      </c>
      <c r="G175" s="3">
        <v>5</v>
      </c>
      <c r="H175">
        <v>31900</v>
      </c>
      <c r="I175">
        <v>159500</v>
      </c>
    </row>
    <row r="176" spans="1:9" x14ac:dyDescent="0.35">
      <c r="A176" t="s">
        <v>215</v>
      </c>
      <c r="B176" s="4">
        <v>46050</v>
      </c>
      <c r="C176" s="3" t="s">
        <v>15</v>
      </c>
      <c r="D176" s="3" t="s">
        <v>36</v>
      </c>
      <c r="E176" t="s">
        <v>17</v>
      </c>
      <c r="F176" t="s">
        <v>18</v>
      </c>
      <c r="G176" s="3">
        <v>3</v>
      </c>
      <c r="H176">
        <v>39900</v>
      </c>
      <c r="I176">
        <v>119700</v>
      </c>
    </row>
    <row r="177" spans="1:9" x14ac:dyDescent="0.35">
      <c r="A177" t="s">
        <v>216</v>
      </c>
      <c r="B177" s="4">
        <v>46133</v>
      </c>
      <c r="C177" s="3" t="s">
        <v>34</v>
      </c>
      <c r="D177" s="3" t="s">
        <v>74</v>
      </c>
      <c r="E177" t="s">
        <v>37</v>
      </c>
      <c r="F177" t="s">
        <v>18</v>
      </c>
      <c r="G177" s="3">
        <v>6</v>
      </c>
      <c r="H177">
        <v>54000</v>
      </c>
      <c r="I177">
        <v>324000</v>
      </c>
    </row>
    <row r="178" spans="1:9" x14ac:dyDescent="0.35">
      <c r="A178" t="s">
        <v>217</v>
      </c>
      <c r="B178" s="4">
        <v>46046</v>
      </c>
      <c r="C178" s="3" t="s">
        <v>39</v>
      </c>
      <c r="D178" s="3" t="s">
        <v>49</v>
      </c>
      <c r="E178" t="s">
        <v>61</v>
      </c>
      <c r="F178" t="s">
        <v>13</v>
      </c>
      <c r="G178" s="3">
        <v>5</v>
      </c>
      <c r="H178">
        <v>8900</v>
      </c>
      <c r="I178">
        <v>44500</v>
      </c>
    </row>
    <row r="179" spans="1:9" x14ac:dyDescent="0.35">
      <c r="A179" t="s">
        <v>218</v>
      </c>
      <c r="B179" s="4">
        <v>46042</v>
      </c>
      <c r="C179" s="3" t="s">
        <v>31</v>
      </c>
      <c r="D179" s="3" t="s">
        <v>36</v>
      </c>
      <c r="E179" t="s">
        <v>63</v>
      </c>
      <c r="F179" t="s">
        <v>55</v>
      </c>
      <c r="G179" s="3">
        <v>5</v>
      </c>
      <c r="H179">
        <v>33800</v>
      </c>
      <c r="I179">
        <v>169000</v>
      </c>
    </row>
    <row r="180" spans="1:9" x14ac:dyDescent="0.35">
      <c r="A180" t="s">
        <v>219</v>
      </c>
      <c r="B180" s="4">
        <v>46096</v>
      </c>
      <c r="C180" s="3" t="s">
        <v>29</v>
      </c>
      <c r="D180" s="3" t="s">
        <v>11</v>
      </c>
      <c r="E180" t="s">
        <v>61</v>
      </c>
      <c r="F180" t="s">
        <v>13</v>
      </c>
      <c r="G180" s="3">
        <v>1</v>
      </c>
      <c r="H180">
        <v>6900</v>
      </c>
      <c r="I180">
        <v>6900</v>
      </c>
    </row>
    <row r="181" spans="1:9" x14ac:dyDescent="0.35">
      <c r="A181" t="s">
        <v>220</v>
      </c>
      <c r="B181" s="4">
        <v>46204</v>
      </c>
      <c r="C181" s="3" t="s">
        <v>20</v>
      </c>
      <c r="D181" s="3" t="s">
        <v>16</v>
      </c>
      <c r="E181" t="s">
        <v>54</v>
      </c>
      <c r="F181" t="s">
        <v>55</v>
      </c>
      <c r="G181" s="3">
        <v>3</v>
      </c>
      <c r="H181">
        <v>19000</v>
      </c>
      <c r="I181">
        <v>57000</v>
      </c>
    </row>
    <row r="182" spans="1:9" x14ac:dyDescent="0.35">
      <c r="A182" t="s">
        <v>221</v>
      </c>
      <c r="B182" s="4">
        <v>46084</v>
      </c>
      <c r="C182" s="3" t="s">
        <v>20</v>
      </c>
      <c r="D182" s="3" t="s">
        <v>11</v>
      </c>
      <c r="E182" t="s">
        <v>12</v>
      </c>
      <c r="F182" t="s">
        <v>13</v>
      </c>
      <c r="G182" s="3">
        <v>8</v>
      </c>
      <c r="H182">
        <v>2400</v>
      </c>
      <c r="I182">
        <v>19200</v>
      </c>
    </row>
    <row r="183" spans="1:9" x14ac:dyDescent="0.35">
      <c r="A183" t="s">
        <v>222</v>
      </c>
      <c r="B183" s="4">
        <v>46081</v>
      </c>
      <c r="C183" s="3" t="s">
        <v>65</v>
      </c>
      <c r="D183" s="3" t="s">
        <v>16</v>
      </c>
      <c r="E183" t="s">
        <v>54</v>
      </c>
      <c r="F183" t="s">
        <v>55</v>
      </c>
      <c r="G183" s="3">
        <v>7</v>
      </c>
      <c r="H183">
        <v>22200</v>
      </c>
      <c r="I183">
        <v>155400</v>
      </c>
    </row>
    <row r="184" spans="1:9" x14ac:dyDescent="0.35">
      <c r="A184" t="s">
        <v>223</v>
      </c>
      <c r="B184" s="4">
        <v>46073</v>
      </c>
      <c r="C184" s="3" t="s">
        <v>39</v>
      </c>
      <c r="D184" s="3" t="s">
        <v>25</v>
      </c>
      <c r="E184" t="s">
        <v>63</v>
      </c>
      <c r="F184" t="s">
        <v>55</v>
      </c>
      <c r="G184" s="3">
        <v>7</v>
      </c>
      <c r="H184">
        <v>28200</v>
      </c>
      <c r="I184">
        <v>197400</v>
      </c>
    </row>
    <row r="185" spans="1:9" x14ac:dyDescent="0.35">
      <c r="A185" t="s">
        <v>224</v>
      </c>
      <c r="B185" s="4">
        <v>46055</v>
      </c>
      <c r="C185" s="3" t="s">
        <v>44</v>
      </c>
      <c r="D185" s="3" t="s">
        <v>49</v>
      </c>
      <c r="E185" t="s">
        <v>32</v>
      </c>
      <c r="F185" t="s">
        <v>13</v>
      </c>
      <c r="G185" s="3">
        <v>5</v>
      </c>
      <c r="H185">
        <v>4000</v>
      </c>
      <c r="I185">
        <v>20000</v>
      </c>
    </row>
    <row r="186" spans="1:9" x14ac:dyDescent="0.35">
      <c r="A186" t="s">
        <v>225</v>
      </c>
      <c r="B186" s="4">
        <v>46200</v>
      </c>
      <c r="C186" s="3" t="s">
        <v>34</v>
      </c>
      <c r="D186" s="3" t="s">
        <v>25</v>
      </c>
      <c r="E186" t="s">
        <v>32</v>
      </c>
      <c r="F186" t="s">
        <v>13</v>
      </c>
      <c r="G186" s="3">
        <v>8</v>
      </c>
      <c r="H186">
        <v>4700</v>
      </c>
      <c r="I186">
        <v>37600</v>
      </c>
    </row>
    <row r="187" spans="1:9" x14ac:dyDescent="0.35">
      <c r="A187" t="s">
        <v>226</v>
      </c>
      <c r="B187" s="4">
        <v>46161</v>
      </c>
      <c r="C187" s="3" t="s">
        <v>34</v>
      </c>
      <c r="D187" s="3" t="s">
        <v>36</v>
      </c>
      <c r="E187" t="s">
        <v>54</v>
      </c>
      <c r="F187" t="s">
        <v>55</v>
      </c>
      <c r="G187" s="3">
        <v>8</v>
      </c>
      <c r="H187">
        <v>19900</v>
      </c>
      <c r="I187">
        <v>159200</v>
      </c>
    </row>
    <row r="188" spans="1:9" x14ac:dyDescent="0.35">
      <c r="A188" t="s">
        <v>227</v>
      </c>
      <c r="B188" s="4">
        <v>46127</v>
      </c>
      <c r="C188" s="3" t="s">
        <v>29</v>
      </c>
      <c r="D188" s="3" t="s">
        <v>49</v>
      </c>
      <c r="E188" t="s">
        <v>26</v>
      </c>
      <c r="F188" t="s">
        <v>18</v>
      </c>
      <c r="G188" s="3">
        <v>3</v>
      </c>
      <c r="H188">
        <v>84800</v>
      </c>
      <c r="I188">
        <v>254400</v>
      </c>
    </row>
    <row r="189" spans="1:9" x14ac:dyDescent="0.35">
      <c r="A189" t="s">
        <v>228</v>
      </c>
      <c r="B189" s="4">
        <v>46120</v>
      </c>
      <c r="C189" s="3" t="s">
        <v>20</v>
      </c>
      <c r="D189" s="3" t="s">
        <v>16</v>
      </c>
      <c r="E189" t="s">
        <v>63</v>
      </c>
      <c r="F189" t="s">
        <v>55</v>
      </c>
      <c r="G189" s="3">
        <v>4</v>
      </c>
      <c r="H189">
        <v>32500</v>
      </c>
      <c r="I189">
        <v>130000</v>
      </c>
    </row>
    <row r="190" spans="1:9" x14ac:dyDescent="0.35">
      <c r="A190" t="s">
        <v>229</v>
      </c>
      <c r="B190" s="4">
        <v>46197</v>
      </c>
      <c r="C190" s="3" t="s">
        <v>65</v>
      </c>
      <c r="D190" s="3" t="s">
        <v>36</v>
      </c>
      <c r="E190" t="s">
        <v>63</v>
      </c>
      <c r="F190" t="s">
        <v>55</v>
      </c>
      <c r="G190" s="3">
        <v>7</v>
      </c>
      <c r="H190">
        <v>26800</v>
      </c>
      <c r="I190">
        <v>187600</v>
      </c>
    </row>
    <row r="191" spans="1:9" x14ac:dyDescent="0.35">
      <c r="A191" t="s">
        <v>230</v>
      </c>
      <c r="B191" s="4">
        <v>46186</v>
      </c>
      <c r="C191" s="3" t="s">
        <v>24</v>
      </c>
      <c r="D191" s="3" t="s">
        <v>16</v>
      </c>
      <c r="E191" t="s">
        <v>40</v>
      </c>
      <c r="F191" t="s">
        <v>13</v>
      </c>
      <c r="G191" s="3">
        <v>6</v>
      </c>
      <c r="H191">
        <v>6400</v>
      </c>
      <c r="I191">
        <v>38400</v>
      </c>
    </row>
    <row r="192" spans="1:9" x14ac:dyDescent="0.35">
      <c r="A192" t="s">
        <v>231</v>
      </c>
      <c r="B192" s="4">
        <v>46047</v>
      </c>
      <c r="C192" s="3" t="s">
        <v>39</v>
      </c>
      <c r="D192" s="3" t="s">
        <v>16</v>
      </c>
      <c r="E192" t="s">
        <v>61</v>
      </c>
      <c r="F192" t="s">
        <v>13</v>
      </c>
      <c r="G192" s="3">
        <v>7</v>
      </c>
      <c r="H192">
        <v>7800</v>
      </c>
      <c r="I192">
        <v>54600</v>
      </c>
    </row>
    <row r="193" spans="1:9" x14ac:dyDescent="0.35">
      <c r="A193" t="s">
        <v>232</v>
      </c>
      <c r="B193" s="4">
        <v>46136</v>
      </c>
      <c r="C193" s="3" t="s">
        <v>65</v>
      </c>
      <c r="D193" s="3" t="s">
        <v>11</v>
      </c>
      <c r="E193" t="s">
        <v>40</v>
      </c>
      <c r="F193" t="s">
        <v>13</v>
      </c>
      <c r="G193" s="3">
        <v>4</v>
      </c>
      <c r="H193">
        <v>6700</v>
      </c>
      <c r="I193">
        <v>26800</v>
      </c>
    </row>
    <row r="194" spans="1:9" x14ac:dyDescent="0.35">
      <c r="A194" t="s">
        <v>233</v>
      </c>
      <c r="B194" s="4">
        <v>46163</v>
      </c>
      <c r="C194" s="3" t="s">
        <v>20</v>
      </c>
      <c r="D194" s="3" t="s">
        <v>36</v>
      </c>
      <c r="E194" t="s">
        <v>40</v>
      </c>
      <c r="F194" t="s">
        <v>13</v>
      </c>
      <c r="G194" s="3">
        <v>8</v>
      </c>
      <c r="H194">
        <v>6300</v>
      </c>
      <c r="I194">
        <v>50400</v>
      </c>
    </row>
    <row r="195" spans="1:9" x14ac:dyDescent="0.35">
      <c r="A195" t="s">
        <v>234</v>
      </c>
      <c r="B195" s="4">
        <v>46156</v>
      </c>
      <c r="C195" s="3" t="s">
        <v>34</v>
      </c>
      <c r="D195" s="3" t="s">
        <v>49</v>
      </c>
      <c r="E195" t="s">
        <v>21</v>
      </c>
      <c r="F195" t="s">
        <v>22</v>
      </c>
      <c r="G195" s="3">
        <v>2</v>
      </c>
      <c r="H195">
        <v>29700</v>
      </c>
      <c r="I195">
        <v>59400</v>
      </c>
    </row>
    <row r="196" spans="1:9" x14ac:dyDescent="0.35">
      <c r="A196" t="s">
        <v>235</v>
      </c>
      <c r="B196" s="4">
        <v>46086</v>
      </c>
      <c r="C196" s="3" t="s">
        <v>10</v>
      </c>
      <c r="D196" s="3" t="s">
        <v>74</v>
      </c>
      <c r="E196" t="s">
        <v>40</v>
      </c>
      <c r="F196" t="s">
        <v>13</v>
      </c>
      <c r="G196" s="3">
        <v>8</v>
      </c>
      <c r="H196">
        <v>5900</v>
      </c>
      <c r="I196">
        <v>47200</v>
      </c>
    </row>
    <row r="197" spans="1:9" x14ac:dyDescent="0.35">
      <c r="A197" t="s">
        <v>236</v>
      </c>
      <c r="B197" s="4">
        <v>46124</v>
      </c>
      <c r="C197" s="3" t="s">
        <v>65</v>
      </c>
      <c r="D197" s="3" t="s">
        <v>16</v>
      </c>
      <c r="E197" t="s">
        <v>21</v>
      </c>
      <c r="F197" t="s">
        <v>22</v>
      </c>
      <c r="G197" s="3">
        <v>2</v>
      </c>
      <c r="H197">
        <v>30500</v>
      </c>
      <c r="I197">
        <v>61000</v>
      </c>
    </row>
    <row r="198" spans="1:9" x14ac:dyDescent="0.35">
      <c r="A198" t="s">
        <v>237</v>
      </c>
      <c r="B198" s="4">
        <v>46164</v>
      </c>
      <c r="C198" s="3" t="s">
        <v>65</v>
      </c>
      <c r="D198" s="3" t="s">
        <v>74</v>
      </c>
      <c r="E198" t="s">
        <v>12</v>
      </c>
      <c r="F198" t="s">
        <v>13</v>
      </c>
      <c r="G198" s="3">
        <v>2</v>
      </c>
      <c r="H198">
        <v>2700</v>
      </c>
      <c r="I198">
        <v>5400</v>
      </c>
    </row>
    <row r="199" spans="1:9" x14ac:dyDescent="0.35">
      <c r="A199" t="s">
        <v>238</v>
      </c>
      <c r="B199" s="4">
        <v>46192</v>
      </c>
      <c r="C199" s="3" t="s">
        <v>239</v>
      </c>
      <c r="D199" s="3" t="s">
        <v>16</v>
      </c>
      <c r="E199" t="s">
        <v>40</v>
      </c>
      <c r="F199" t="s">
        <v>13</v>
      </c>
      <c r="G199" s="3">
        <v>8</v>
      </c>
      <c r="H199">
        <v>6300</v>
      </c>
      <c r="I199">
        <v>50400</v>
      </c>
    </row>
    <row r="200" spans="1:9" x14ac:dyDescent="0.35">
      <c r="A200" t="s">
        <v>240</v>
      </c>
      <c r="B200" s="4">
        <v>46075</v>
      </c>
      <c r="C200" s="3" t="s">
        <v>39</v>
      </c>
      <c r="D200" s="3" t="s">
        <v>74</v>
      </c>
      <c r="E200" t="s">
        <v>61</v>
      </c>
      <c r="F200" t="s">
        <v>13</v>
      </c>
      <c r="G200" s="3">
        <v>7</v>
      </c>
      <c r="H200">
        <v>8000</v>
      </c>
      <c r="I200">
        <v>56000</v>
      </c>
    </row>
    <row r="201" spans="1:9" x14ac:dyDescent="0.35">
      <c r="A201" t="s">
        <v>241</v>
      </c>
      <c r="B201" s="4">
        <v>46161</v>
      </c>
      <c r="C201" s="3" t="s">
        <v>10</v>
      </c>
      <c r="D201" s="3" t="s">
        <v>25</v>
      </c>
      <c r="E201" t="s">
        <v>40</v>
      </c>
      <c r="F201" t="s">
        <v>13</v>
      </c>
      <c r="G201" s="3">
        <v>3</v>
      </c>
      <c r="H201">
        <v>7500</v>
      </c>
      <c r="I201">
        <v>22500</v>
      </c>
    </row>
    <row r="202" spans="1:9" x14ac:dyDescent="0.35">
      <c r="A202" t="s">
        <v>242</v>
      </c>
      <c r="B202" s="4">
        <v>46154</v>
      </c>
      <c r="C202" s="3" t="s">
        <v>46</v>
      </c>
      <c r="D202" s="3" t="s">
        <v>49</v>
      </c>
      <c r="E202" t="s">
        <v>61</v>
      </c>
      <c r="F202" t="s">
        <v>13</v>
      </c>
      <c r="G202" s="3">
        <v>8</v>
      </c>
      <c r="H202">
        <v>7200</v>
      </c>
      <c r="I202">
        <v>57600</v>
      </c>
    </row>
    <row r="203" spans="1:9" x14ac:dyDescent="0.35">
      <c r="A203" t="s">
        <v>243</v>
      </c>
      <c r="B203" s="4">
        <v>46098</v>
      </c>
      <c r="C203" s="3" t="s">
        <v>24</v>
      </c>
      <c r="D203" s="3" t="s">
        <v>25</v>
      </c>
      <c r="E203" t="s">
        <v>37</v>
      </c>
      <c r="F203" t="s">
        <v>18</v>
      </c>
      <c r="G203" s="3">
        <v>6</v>
      </c>
      <c r="H203">
        <v>53400</v>
      </c>
      <c r="I203">
        <v>320400</v>
      </c>
    </row>
    <row r="204" spans="1:9" x14ac:dyDescent="0.35">
      <c r="A204" t="s">
        <v>244</v>
      </c>
      <c r="B204" s="4">
        <v>46125</v>
      </c>
      <c r="C204" s="3" t="s">
        <v>34</v>
      </c>
      <c r="D204" s="3" t="s">
        <v>11</v>
      </c>
      <c r="E204" t="s">
        <v>54</v>
      </c>
      <c r="F204" t="s">
        <v>55</v>
      </c>
      <c r="G204" s="3">
        <v>4</v>
      </c>
      <c r="H204">
        <v>23400</v>
      </c>
      <c r="I204">
        <v>93600</v>
      </c>
    </row>
    <row r="205" spans="1:9" x14ac:dyDescent="0.35">
      <c r="A205" t="s">
        <v>245</v>
      </c>
      <c r="B205" s="4">
        <v>46124</v>
      </c>
      <c r="C205" s="3" t="s">
        <v>24</v>
      </c>
      <c r="D205" s="3" t="s">
        <v>49</v>
      </c>
      <c r="E205" t="s">
        <v>21</v>
      </c>
      <c r="F205" t="s">
        <v>22</v>
      </c>
      <c r="G205" s="3">
        <v>1</v>
      </c>
      <c r="H205">
        <v>27300</v>
      </c>
      <c r="I205">
        <v>27300</v>
      </c>
    </row>
    <row r="206" spans="1:9" x14ac:dyDescent="0.35">
      <c r="A206" t="s">
        <v>246</v>
      </c>
      <c r="B206" s="4">
        <v>46066</v>
      </c>
      <c r="C206" s="3" t="s">
        <v>20</v>
      </c>
      <c r="D206" s="3" t="s">
        <v>74</v>
      </c>
      <c r="E206" t="s">
        <v>40</v>
      </c>
      <c r="F206" t="s">
        <v>13</v>
      </c>
      <c r="G206" s="3">
        <v>4</v>
      </c>
      <c r="H206">
        <v>6600</v>
      </c>
      <c r="I206">
        <v>26400</v>
      </c>
    </row>
    <row r="207" spans="1:9" x14ac:dyDescent="0.35">
      <c r="A207" t="s">
        <v>247</v>
      </c>
      <c r="B207" s="4">
        <v>46031</v>
      </c>
      <c r="C207" s="3" t="s">
        <v>24</v>
      </c>
      <c r="D207" s="3" t="s">
        <v>74</v>
      </c>
      <c r="E207" t="s">
        <v>17</v>
      </c>
      <c r="F207" t="s">
        <v>18</v>
      </c>
      <c r="G207" s="3">
        <v>7</v>
      </c>
      <c r="H207">
        <v>39200</v>
      </c>
      <c r="I207">
        <v>274400</v>
      </c>
    </row>
    <row r="208" spans="1:9" x14ac:dyDescent="0.35">
      <c r="A208" t="s">
        <v>248</v>
      </c>
      <c r="B208" s="4">
        <v>46082</v>
      </c>
      <c r="C208" s="3" t="s">
        <v>31</v>
      </c>
      <c r="D208" s="3" t="s">
        <v>11</v>
      </c>
      <c r="E208" t="s">
        <v>12</v>
      </c>
      <c r="F208" t="s">
        <v>13</v>
      </c>
      <c r="G208" s="3">
        <v>2</v>
      </c>
      <c r="H208">
        <v>2300</v>
      </c>
      <c r="I208">
        <v>4600</v>
      </c>
    </row>
    <row r="209" spans="1:9" x14ac:dyDescent="0.35">
      <c r="A209" t="s">
        <v>249</v>
      </c>
      <c r="B209" s="4">
        <v>46129</v>
      </c>
      <c r="C209" s="3" t="s">
        <v>46</v>
      </c>
      <c r="D209" s="3" t="s">
        <v>11</v>
      </c>
      <c r="E209" t="s">
        <v>63</v>
      </c>
      <c r="F209" t="s">
        <v>55</v>
      </c>
      <c r="G209" s="3">
        <v>6</v>
      </c>
      <c r="H209">
        <v>27700</v>
      </c>
      <c r="I209">
        <v>166200</v>
      </c>
    </row>
    <row r="210" spans="1:9" x14ac:dyDescent="0.35">
      <c r="A210" t="s">
        <v>250</v>
      </c>
      <c r="B210" s="4">
        <v>46099</v>
      </c>
      <c r="C210" s="3" t="s">
        <v>15</v>
      </c>
      <c r="D210" s="3" t="s">
        <v>74</v>
      </c>
      <c r="E210" t="s">
        <v>40</v>
      </c>
      <c r="F210" t="s">
        <v>13</v>
      </c>
      <c r="G210" s="3">
        <v>1</v>
      </c>
      <c r="H210">
        <v>6100</v>
      </c>
      <c r="I210">
        <v>6100</v>
      </c>
    </row>
    <row r="211" spans="1:9" x14ac:dyDescent="0.35">
      <c r="A211" t="s">
        <v>251</v>
      </c>
      <c r="B211" s="4">
        <v>46110</v>
      </c>
      <c r="C211" s="3" t="s">
        <v>29</v>
      </c>
      <c r="D211" s="3" t="s">
        <v>74</v>
      </c>
      <c r="E211" t="s">
        <v>17</v>
      </c>
      <c r="F211" t="s">
        <v>18</v>
      </c>
      <c r="G211" s="3">
        <v>7</v>
      </c>
      <c r="H211">
        <v>36800</v>
      </c>
      <c r="I211">
        <v>257600</v>
      </c>
    </row>
    <row r="212" spans="1:9" x14ac:dyDescent="0.35">
      <c r="A212" t="s">
        <v>252</v>
      </c>
      <c r="B212" s="4">
        <v>46140</v>
      </c>
      <c r="C212" s="3" t="s">
        <v>15</v>
      </c>
      <c r="D212" s="3" t="s">
        <v>25</v>
      </c>
      <c r="E212" t="s">
        <v>17</v>
      </c>
      <c r="F212" t="s">
        <v>18</v>
      </c>
      <c r="G212" s="3">
        <v>6</v>
      </c>
      <c r="H212">
        <v>33400</v>
      </c>
      <c r="I212">
        <v>200400</v>
      </c>
    </row>
    <row r="213" spans="1:9" x14ac:dyDescent="0.35">
      <c r="A213" t="s">
        <v>253</v>
      </c>
      <c r="B213" s="4">
        <v>46166</v>
      </c>
      <c r="C213" s="3" t="s">
        <v>65</v>
      </c>
      <c r="D213" s="3" t="s">
        <v>74</v>
      </c>
      <c r="E213" t="s">
        <v>37</v>
      </c>
      <c r="F213" t="s">
        <v>18</v>
      </c>
      <c r="G213" s="3">
        <v>2</v>
      </c>
      <c r="H213">
        <v>58700</v>
      </c>
      <c r="I213">
        <v>117400</v>
      </c>
    </row>
    <row r="214" spans="1:9" x14ac:dyDescent="0.35">
      <c r="A214" t="s">
        <v>254</v>
      </c>
      <c r="B214" s="4">
        <v>46068</v>
      </c>
      <c r="C214" s="3" t="s">
        <v>51</v>
      </c>
      <c r="D214" s="3" t="s">
        <v>36</v>
      </c>
      <c r="E214" t="s">
        <v>32</v>
      </c>
      <c r="F214" t="s">
        <v>13</v>
      </c>
      <c r="G214" s="3">
        <v>4</v>
      </c>
      <c r="H214">
        <v>5000</v>
      </c>
      <c r="I214">
        <v>20000</v>
      </c>
    </row>
    <row r="215" spans="1:9" x14ac:dyDescent="0.35">
      <c r="A215" t="s">
        <v>255</v>
      </c>
      <c r="B215" s="4">
        <v>46143</v>
      </c>
      <c r="C215" s="3" t="s">
        <v>10</v>
      </c>
      <c r="D215" s="3" t="s">
        <v>36</v>
      </c>
      <c r="E215" t="s">
        <v>37</v>
      </c>
      <c r="F215" t="s">
        <v>18</v>
      </c>
      <c r="G215" s="3">
        <v>8</v>
      </c>
      <c r="H215">
        <v>58100</v>
      </c>
      <c r="I215">
        <v>464800</v>
      </c>
    </row>
    <row r="216" spans="1:9" x14ac:dyDescent="0.35">
      <c r="A216" t="s">
        <v>256</v>
      </c>
      <c r="B216" s="4">
        <v>46095</v>
      </c>
      <c r="C216" s="3" t="s">
        <v>51</v>
      </c>
      <c r="D216" s="3" t="s">
        <v>74</v>
      </c>
      <c r="E216" t="s">
        <v>63</v>
      </c>
      <c r="F216" t="s">
        <v>55</v>
      </c>
      <c r="G216" s="3">
        <v>8</v>
      </c>
      <c r="H216">
        <v>29700</v>
      </c>
      <c r="I216">
        <v>237600</v>
      </c>
    </row>
    <row r="217" spans="1:9" x14ac:dyDescent="0.35">
      <c r="A217" t="s">
        <v>257</v>
      </c>
      <c r="B217" s="4">
        <v>46131</v>
      </c>
      <c r="C217" s="3" t="s">
        <v>15</v>
      </c>
      <c r="D217" s="3" t="s">
        <v>49</v>
      </c>
      <c r="E217" t="s">
        <v>40</v>
      </c>
      <c r="F217" t="s">
        <v>13</v>
      </c>
      <c r="G217" s="3">
        <v>5</v>
      </c>
      <c r="H217">
        <v>7200</v>
      </c>
      <c r="I217">
        <v>36000</v>
      </c>
    </row>
    <row r="218" spans="1:9" x14ac:dyDescent="0.35">
      <c r="A218" t="s">
        <v>258</v>
      </c>
      <c r="B218" s="4">
        <v>46106</v>
      </c>
      <c r="C218" s="3" t="s">
        <v>46</v>
      </c>
      <c r="D218" s="3" t="s">
        <v>36</v>
      </c>
      <c r="E218" t="s">
        <v>40</v>
      </c>
      <c r="F218" t="s">
        <v>13</v>
      </c>
      <c r="G218" s="3">
        <v>1</v>
      </c>
      <c r="H218">
        <v>5900</v>
      </c>
      <c r="I218">
        <v>5900</v>
      </c>
    </row>
    <row r="219" spans="1:9" x14ac:dyDescent="0.35">
      <c r="A219" t="s">
        <v>259</v>
      </c>
      <c r="B219" s="4">
        <v>46039</v>
      </c>
      <c r="C219" s="3" t="s">
        <v>46</v>
      </c>
      <c r="D219" s="3" t="s">
        <v>16</v>
      </c>
      <c r="E219" t="s">
        <v>40</v>
      </c>
      <c r="F219" t="s">
        <v>13</v>
      </c>
      <c r="G219" s="3">
        <v>5</v>
      </c>
      <c r="H219">
        <v>6500</v>
      </c>
      <c r="I219">
        <v>32500</v>
      </c>
    </row>
    <row r="220" spans="1:9" x14ac:dyDescent="0.35">
      <c r="A220" t="s">
        <v>260</v>
      </c>
      <c r="B220" s="4">
        <v>46192</v>
      </c>
      <c r="C220" s="3" t="s">
        <v>39</v>
      </c>
      <c r="D220" s="3" t="s">
        <v>74</v>
      </c>
      <c r="E220" t="s">
        <v>63</v>
      </c>
      <c r="F220" t="s">
        <v>55</v>
      </c>
      <c r="G220" s="3">
        <v>2</v>
      </c>
      <c r="H220">
        <v>25600</v>
      </c>
      <c r="I220">
        <v>51200</v>
      </c>
    </row>
    <row r="221" spans="1:9" x14ac:dyDescent="0.35">
      <c r="A221" t="s">
        <v>261</v>
      </c>
      <c r="B221" s="4">
        <v>46164</v>
      </c>
      <c r="C221" s="3" t="s">
        <v>15</v>
      </c>
      <c r="D221" s="3" t="s">
        <v>49</v>
      </c>
      <c r="E221" t="s">
        <v>12</v>
      </c>
      <c r="F221" t="s">
        <v>13</v>
      </c>
      <c r="G221" s="3">
        <v>8</v>
      </c>
      <c r="H221">
        <v>2100</v>
      </c>
      <c r="I221">
        <v>16800</v>
      </c>
    </row>
    <row r="222" spans="1:9" x14ac:dyDescent="0.35">
      <c r="A222" t="s">
        <v>262</v>
      </c>
      <c r="B222" s="4">
        <v>46153</v>
      </c>
      <c r="C222" s="3" t="s">
        <v>24</v>
      </c>
      <c r="D222" s="3" t="s">
        <v>11</v>
      </c>
      <c r="E222" t="s">
        <v>12</v>
      </c>
      <c r="F222" t="s">
        <v>13</v>
      </c>
      <c r="G222" s="3">
        <v>1</v>
      </c>
      <c r="H222">
        <v>2700</v>
      </c>
      <c r="I222">
        <v>2700</v>
      </c>
    </row>
    <row r="223" spans="1:9" x14ac:dyDescent="0.35">
      <c r="A223" t="s">
        <v>263</v>
      </c>
      <c r="B223" s="4">
        <v>46134</v>
      </c>
      <c r="C223" s="3" t="s">
        <v>10</v>
      </c>
      <c r="D223" s="3" t="s">
        <v>11</v>
      </c>
      <c r="E223" t="s">
        <v>26</v>
      </c>
      <c r="F223" t="s">
        <v>18</v>
      </c>
      <c r="G223" s="3">
        <v>6</v>
      </c>
      <c r="H223">
        <v>87900</v>
      </c>
      <c r="I223">
        <v>527400</v>
      </c>
    </row>
    <row r="224" spans="1:9" x14ac:dyDescent="0.35">
      <c r="A224" t="s">
        <v>264</v>
      </c>
      <c r="B224" s="4">
        <v>46126</v>
      </c>
      <c r="C224" s="3" t="s">
        <v>39</v>
      </c>
      <c r="D224" s="3" t="s">
        <v>74</v>
      </c>
      <c r="E224" t="s">
        <v>26</v>
      </c>
      <c r="F224" t="s">
        <v>18</v>
      </c>
      <c r="G224" s="3">
        <v>2</v>
      </c>
      <c r="H224">
        <v>89400</v>
      </c>
      <c r="I224">
        <v>178800</v>
      </c>
    </row>
    <row r="225" spans="1:9" x14ac:dyDescent="0.35">
      <c r="A225" t="s">
        <v>265</v>
      </c>
      <c r="B225" s="4">
        <v>46034</v>
      </c>
      <c r="C225" s="3" t="s">
        <v>44</v>
      </c>
      <c r="D225" s="3" t="s">
        <v>74</v>
      </c>
      <c r="E225" t="s">
        <v>54</v>
      </c>
      <c r="F225" t="s">
        <v>55</v>
      </c>
      <c r="G225" s="3">
        <v>7</v>
      </c>
      <c r="H225">
        <v>21100</v>
      </c>
      <c r="I225">
        <v>147700</v>
      </c>
    </row>
    <row r="226" spans="1:9" x14ac:dyDescent="0.35">
      <c r="A226" t="s">
        <v>266</v>
      </c>
      <c r="B226" s="4">
        <v>46199</v>
      </c>
      <c r="C226" s="3" t="s">
        <v>31</v>
      </c>
      <c r="D226" s="3" t="s">
        <v>25</v>
      </c>
      <c r="E226" t="s">
        <v>37</v>
      </c>
      <c r="F226" t="s">
        <v>18</v>
      </c>
      <c r="G226" s="3">
        <v>5</v>
      </c>
      <c r="H226">
        <v>54200</v>
      </c>
      <c r="I226">
        <v>271000</v>
      </c>
    </row>
    <row r="227" spans="1:9" x14ac:dyDescent="0.35">
      <c r="A227" t="s">
        <v>267</v>
      </c>
      <c r="B227" s="4">
        <v>46075</v>
      </c>
      <c r="C227" s="3" t="s">
        <v>34</v>
      </c>
      <c r="D227" s="3" t="s">
        <v>11</v>
      </c>
      <c r="E227" t="s">
        <v>37</v>
      </c>
      <c r="F227" t="s">
        <v>18</v>
      </c>
      <c r="G227" s="3">
        <v>6</v>
      </c>
      <c r="H227">
        <v>62200</v>
      </c>
      <c r="I227">
        <v>373200</v>
      </c>
    </row>
    <row r="228" spans="1:9" x14ac:dyDescent="0.35">
      <c r="A228" t="s">
        <v>268</v>
      </c>
      <c r="B228" s="4">
        <v>46121</v>
      </c>
      <c r="C228" s="3" t="s">
        <v>51</v>
      </c>
      <c r="D228" s="3" t="s">
        <v>74</v>
      </c>
      <c r="E228" t="s">
        <v>63</v>
      </c>
      <c r="F228" t="s">
        <v>55</v>
      </c>
      <c r="G228" s="3">
        <v>6</v>
      </c>
      <c r="H228">
        <v>30000</v>
      </c>
      <c r="I228">
        <v>180000</v>
      </c>
    </row>
    <row r="229" spans="1:9" x14ac:dyDescent="0.35">
      <c r="A229" t="s">
        <v>269</v>
      </c>
      <c r="B229" s="4">
        <v>46029</v>
      </c>
      <c r="C229" s="3" t="s">
        <v>24</v>
      </c>
      <c r="D229" s="3" t="s">
        <v>25</v>
      </c>
      <c r="E229" t="s">
        <v>12</v>
      </c>
      <c r="F229" t="s">
        <v>13</v>
      </c>
      <c r="G229" s="3">
        <v>4</v>
      </c>
      <c r="H229">
        <v>2500</v>
      </c>
      <c r="I229">
        <v>10000</v>
      </c>
    </row>
    <row r="230" spans="1:9" x14ac:dyDescent="0.35">
      <c r="A230" t="s">
        <v>270</v>
      </c>
      <c r="B230" s="4">
        <v>46168</v>
      </c>
      <c r="C230" s="3" t="s">
        <v>51</v>
      </c>
      <c r="D230" s="3" t="s">
        <v>49</v>
      </c>
      <c r="E230" t="s">
        <v>32</v>
      </c>
      <c r="F230" t="s">
        <v>13</v>
      </c>
      <c r="G230" s="3">
        <v>7</v>
      </c>
      <c r="H230">
        <v>5000</v>
      </c>
      <c r="I230">
        <v>35000</v>
      </c>
    </row>
    <row r="231" spans="1:9" x14ac:dyDescent="0.35">
      <c r="A231" t="s">
        <v>271</v>
      </c>
      <c r="B231" s="4">
        <v>46153</v>
      </c>
      <c r="C231" s="3" t="s">
        <v>24</v>
      </c>
      <c r="D231" s="3" t="s">
        <v>16</v>
      </c>
      <c r="E231" t="s">
        <v>63</v>
      </c>
      <c r="F231" t="s">
        <v>55</v>
      </c>
      <c r="G231" s="3">
        <v>6</v>
      </c>
      <c r="H231">
        <v>30100</v>
      </c>
      <c r="I231">
        <v>180600</v>
      </c>
    </row>
    <row r="232" spans="1:9" x14ac:dyDescent="0.35">
      <c r="A232" t="s">
        <v>272</v>
      </c>
      <c r="B232" s="4">
        <v>46149</v>
      </c>
      <c r="C232" s="3" t="s">
        <v>65</v>
      </c>
      <c r="D232" s="3" t="s">
        <v>49</v>
      </c>
      <c r="E232" t="s">
        <v>12</v>
      </c>
      <c r="F232" t="s">
        <v>13</v>
      </c>
      <c r="G232" s="3">
        <v>2</v>
      </c>
      <c r="H232">
        <v>2200</v>
      </c>
      <c r="I232">
        <v>4400</v>
      </c>
    </row>
    <row r="233" spans="1:9" x14ac:dyDescent="0.35">
      <c r="A233" t="s">
        <v>273</v>
      </c>
      <c r="B233" s="4">
        <v>46169</v>
      </c>
      <c r="C233" s="3" t="s">
        <v>51</v>
      </c>
      <c r="D233" s="3" t="s">
        <v>11</v>
      </c>
      <c r="E233" t="s">
        <v>26</v>
      </c>
      <c r="F233" t="s">
        <v>18</v>
      </c>
      <c r="G233" s="3">
        <v>8</v>
      </c>
      <c r="H233">
        <v>73500</v>
      </c>
      <c r="I233">
        <v>588000</v>
      </c>
    </row>
    <row r="234" spans="1:9" x14ac:dyDescent="0.35">
      <c r="A234" t="s">
        <v>274</v>
      </c>
      <c r="B234" s="4">
        <v>46138</v>
      </c>
      <c r="C234" s="3" t="s">
        <v>24</v>
      </c>
      <c r="D234" s="3" t="s">
        <v>49</v>
      </c>
      <c r="E234" t="s">
        <v>40</v>
      </c>
      <c r="F234" t="s">
        <v>13</v>
      </c>
      <c r="G234" s="3">
        <v>2</v>
      </c>
      <c r="H234">
        <v>6300</v>
      </c>
      <c r="I234">
        <v>12600</v>
      </c>
    </row>
    <row r="235" spans="1:9" x14ac:dyDescent="0.35">
      <c r="A235" t="s">
        <v>275</v>
      </c>
      <c r="B235" s="4">
        <v>46177</v>
      </c>
      <c r="C235" s="3" t="s">
        <v>20</v>
      </c>
      <c r="D235" s="3" t="s">
        <v>11</v>
      </c>
      <c r="E235" t="s">
        <v>61</v>
      </c>
      <c r="F235" t="s">
        <v>13</v>
      </c>
      <c r="G235" s="3">
        <v>3</v>
      </c>
      <c r="H235">
        <v>8000</v>
      </c>
      <c r="I235">
        <v>24000</v>
      </c>
    </row>
    <row r="236" spans="1:9" x14ac:dyDescent="0.35">
      <c r="A236" t="s">
        <v>276</v>
      </c>
      <c r="B236" s="4">
        <v>46123</v>
      </c>
      <c r="C236" s="3" t="s">
        <v>20</v>
      </c>
      <c r="D236" s="3" t="s">
        <v>11</v>
      </c>
      <c r="E236" t="s">
        <v>63</v>
      </c>
      <c r="F236" t="s">
        <v>55</v>
      </c>
      <c r="G236" s="3">
        <v>4</v>
      </c>
      <c r="H236">
        <v>29500</v>
      </c>
      <c r="I236">
        <v>118000</v>
      </c>
    </row>
    <row r="237" spans="1:9" x14ac:dyDescent="0.35">
      <c r="A237" t="s">
        <v>277</v>
      </c>
      <c r="B237" s="4">
        <v>46065</v>
      </c>
      <c r="C237" s="3" t="s">
        <v>20</v>
      </c>
      <c r="D237" s="3" t="s">
        <v>16</v>
      </c>
      <c r="E237" t="s">
        <v>32</v>
      </c>
      <c r="F237" t="s">
        <v>13</v>
      </c>
      <c r="G237" s="3">
        <v>2</v>
      </c>
      <c r="H237">
        <v>4000</v>
      </c>
      <c r="I237">
        <v>8000</v>
      </c>
    </row>
    <row r="238" spans="1:9" x14ac:dyDescent="0.35">
      <c r="A238" t="s">
        <v>278</v>
      </c>
      <c r="B238" s="4">
        <v>46107</v>
      </c>
      <c r="C238" s="3" t="s">
        <v>29</v>
      </c>
      <c r="D238" s="3" t="s">
        <v>74</v>
      </c>
      <c r="E238" t="s">
        <v>12</v>
      </c>
      <c r="F238" t="s">
        <v>13</v>
      </c>
      <c r="G238" s="3">
        <v>2</v>
      </c>
      <c r="H238">
        <v>2800</v>
      </c>
      <c r="I238">
        <v>5600</v>
      </c>
    </row>
    <row r="239" spans="1:9" x14ac:dyDescent="0.35">
      <c r="A239" t="s">
        <v>279</v>
      </c>
      <c r="B239" s="4">
        <v>46173</v>
      </c>
      <c r="C239" s="3" t="s">
        <v>24</v>
      </c>
      <c r="D239" s="3" t="s">
        <v>25</v>
      </c>
      <c r="E239" t="s">
        <v>12</v>
      </c>
      <c r="F239" t="s">
        <v>13</v>
      </c>
      <c r="G239" s="3">
        <v>2</v>
      </c>
      <c r="H239">
        <v>2400</v>
      </c>
      <c r="I239">
        <v>4800</v>
      </c>
    </row>
    <row r="240" spans="1:9" x14ac:dyDescent="0.35">
      <c r="A240" t="s">
        <v>280</v>
      </c>
      <c r="B240" s="4">
        <v>46167</v>
      </c>
      <c r="C240" s="3" t="s">
        <v>34</v>
      </c>
      <c r="D240" s="3" t="s">
        <v>16</v>
      </c>
      <c r="E240" t="s">
        <v>26</v>
      </c>
      <c r="F240" t="s">
        <v>18</v>
      </c>
      <c r="G240" s="3">
        <v>3</v>
      </c>
      <c r="H240">
        <v>94400</v>
      </c>
      <c r="I240">
        <v>283200</v>
      </c>
    </row>
    <row r="241" spans="1:9" x14ac:dyDescent="0.35">
      <c r="A241" t="s">
        <v>281</v>
      </c>
      <c r="B241" s="4">
        <v>46035</v>
      </c>
      <c r="C241" s="3" t="s">
        <v>51</v>
      </c>
      <c r="D241" s="3" t="s">
        <v>16</v>
      </c>
      <c r="E241" t="s">
        <v>54</v>
      </c>
      <c r="F241" t="s">
        <v>55</v>
      </c>
      <c r="G241" s="3">
        <v>5</v>
      </c>
      <c r="H241">
        <v>23300</v>
      </c>
      <c r="I241">
        <v>116500</v>
      </c>
    </row>
    <row r="242" spans="1:9" x14ac:dyDescent="0.35">
      <c r="A242" t="s">
        <v>282</v>
      </c>
      <c r="B242" s="4">
        <v>46088</v>
      </c>
      <c r="C242" s="3" t="s">
        <v>20</v>
      </c>
      <c r="D242" s="3" t="s">
        <v>49</v>
      </c>
      <c r="E242" t="s">
        <v>54</v>
      </c>
      <c r="F242" t="s">
        <v>55</v>
      </c>
      <c r="G242" s="3">
        <v>5</v>
      </c>
      <c r="H242">
        <v>24200</v>
      </c>
      <c r="I242">
        <v>121000</v>
      </c>
    </row>
    <row r="243" spans="1:9" x14ac:dyDescent="0.35">
      <c r="A243" t="s">
        <v>283</v>
      </c>
      <c r="B243" s="4">
        <v>46058</v>
      </c>
      <c r="C243" s="3" t="s">
        <v>65</v>
      </c>
      <c r="D243" s="3" t="s">
        <v>25</v>
      </c>
      <c r="E243" t="s">
        <v>63</v>
      </c>
      <c r="F243" t="s">
        <v>55</v>
      </c>
      <c r="G243" s="3">
        <v>7</v>
      </c>
      <c r="H243">
        <v>27000</v>
      </c>
      <c r="I243">
        <v>189000</v>
      </c>
    </row>
    <row r="244" spans="1:9" x14ac:dyDescent="0.35">
      <c r="A244" t="s">
        <v>284</v>
      </c>
      <c r="B244" s="4">
        <v>46173</v>
      </c>
      <c r="C244" s="3" t="s">
        <v>10</v>
      </c>
      <c r="D244" s="3" t="s">
        <v>36</v>
      </c>
      <c r="E244" t="s">
        <v>54</v>
      </c>
      <c r="F244" t="s">
        <v>55</v>
      </c>
      <c r="G244" s="3">
        <v>7</v>
      </c>
      <c r="H244">
        <v>20200</v>
      </c>
      <c r="I244">
        <v>141400</v>
      </c>
    </row>
    <row r="245" spans="1:9" x14ac:dyDescent="0.35">
      <c r="A245" t="s">
        <v>285</v>
      </c>
      <c r="B245" s="4">
        <v>46083</v>
      </c>
      <c r="C245" s="3" t="s">
        <v>39</v>
      </c>
      <c r="D245" s="3" t="s">
        <v>36</v>
      </c>
      <c r="E245" t="s">
        <v>21</v>
      </c>
      <c r="F245" t="s">
        <v>22</v>
      </c>
      <c r="G245" s="3">
        <v>4</v>
      </c>
      <c r="H245">
        <v>27500</v>
      </c>
      <c r="I245">
        <v>110000</v>
      </c>
    </row>
    <row r="246" spans="1:9" x14ac:dyDescent="0.35">
      <c r="A246" t="s">
        <v>286</v>
      </c>
      <c r="B246" s="4">
        <v>46042</v>
      </c>
      <c r="C246" s="3" t="s">
        <v>34</v>
      </c>
      <c r="D246" s="3" t="s">
        <v>36</v>
      </c>
      <c r="E246" t="s">
        <v>54</v>
      </c>
      <c r="F246" t="s">
        <v>55</v>
      </c>
      <c r="G246" s="3">
        <v>1</v>
      </c>
      <c r="H246">
        <v>24200</v>
      </c>
      <c r="I246">
        <v>24200</v>
      </c>
    </row>
    <row r="247" spans="1:9" x14ac:dyDescent="0.35">
      <c r="A247" t="s">
        <v>287</v>
      </c>
      <c r="B247" s="4">
        <v>46123</v>
      </c>
      <c r="C247" s="3" t="s">
        <v>44</v>
      </c>
      <c r="D247" s="3" t="s">
        <v>11</v>
      </c>
      <c r="E247" t="s">
        <v>40</v>
      </c>
      <c r="F247" t="s">
        <v>13</v>
      </c>
      <c r="G247" s="3">
        <v>6</v>
      </c>
      <c r="H247">
        <v>7300</v>
      </c>
      <c r="I247">
        <v>43800</v>
      </c>
    </row>
    <row r="248" spans="1:9" x14ac:dyDescent="0.35">
      <c r="A248" t="s">
        <v>288</v>
      </c>
      <c r="B248" s="4">
        <v>46158</v>
      </c>
      <c r="C248" s="3" t="s">
        <v>10</v>
      </c>
      <c r="D248" s="3" t="s">
        <v>49</v>
      </c>
      <c r="E248" t="s">
        <v>26</v>
      </c>
      <c r="F248" t="s">
        <v>18</v>
      </c>
      <c r="G248" s="3">
        <v>1</v>
      </c>
      <c r="H248">
        <v>78600</v>
      </c>
      <c r="I248">
        <v>78600</v>
      </c>
    </row>
    <row r="249" spans="1:9" x14ac:dyDescent="0.35">
      <c r="A249" t="s">
        <v>289</v>
      </c>
      <c r="B249" s="4">
        <v>46178</v>
      </c>
      <c r="C249" s="3" t="s">
        <v>44</v>
      </c>
      <c r="D249" s="3" t="s">
        <v>11</v>
      </c>
      <c r="E249" t="s">
        <v>40</v>
      </c>
      <c r="F249" t="s">
        <v>13</v>
      </c>
      <c r="G249" s="3">
        <v>6</v>
      </c>
      <c r="H249">
        <v>5900</v>
      </c>
      <c r="I249">
        <v>35400</v>
      </c>
    </row>
    <row r="250" spans="1:9" x14ac:dyDescent="0.35">
      <c r="A250" t="s">
        <v>290</v>
      </c>
      <c r="B250" s="4">
        <v>46082</v>
      </c>
      <c r="C250" s="3" t="s">
        <v>46</v>
      </c>
      <c r="D250" s="3" t="s">
        <v>36</v>
      </c>
      <c r="E250" t="s">
        <v>54</v>
      </c>
      <c r="F250" t="s">
        <v>55</v>
      </c>
      <c r="G250" s="3">
        <v>6</v>
      </c>
      <c r="H250">
        <v>23800</v>
      </c>
      <c r="I250">
        <v>142800</v>
      </c>
    </row>
    <row r="251" spans="1:9" x14ac:dyDescent="0.35">
      <c r="A251" t="s">
        <v>291</v>
      </c>
      <c r="B251" s="4">
        <v>46099</v>
      </c>
      <c r="C251" s="3" t="s">
        <v>24</v>
      </c>
      <c r="D251" s="3" t="s">
        <v>49</v>
      </c>
      <c r="E251" t="s">
        <v>21</v>
      </c>
      <c r="F251" t="s">
        <v>22</v>
      </c>
      <c r="G251" s="3">
        <v>2</v>
      </c>
      <c r="H251">
        <v>29800</v>
      </c>
      <c r="I251">
        <v>59600</v>
      </c>
    </row>
    <row r="252" spans="1:9" x14ac:dyDescent="0.35">
      <c r="A252" t="s">
        <v>292</v>
      </c>
      <c r="B252" s="4">
        <v>46083</v>
      </c>
      <c r="C252" s="3" t="s">
        <v>34</v>
      </c>
      <c r="D252" s="3" t="s">
        <v>49</v>
      </c>
      <c r="E252" t="s">
        <v>21</v>
      </c>
      <c r="F252" t="s">
        <v>22</v>
      </c>
      <c r="G252" s="3">
        <v>2</v>
      </c>
      <c r="H252">
        <v>30700</v>
      </c>
      <c r="I252">
        <v>61400</v>
      </c>
    </row>
    <row r="253" spans="1:9" x14ac:dyDescent="0.35">
      <c r="A253" t="s">
        <v>293</v>
      </c>
      <c r="B253" s="4">
        <v>46095</v>
      </c>
      <c r="C253" s="3" t="s">
        <v>39</v>
      </c>
      <c r="D253" s="3" t="s">
        <v>74</v>
      </c>
      <c r="E253" t="s">
        <v>12</v>
      </c>
      <c r="F253" t="s">
        <v>13</v>
      </c>
      <c r="G253" s="3">
        <v>8</v>
      </c>
      <c r="H253">
        <v>2300</v>
      </c>
      <c r="I253">
        <v>18400</v>
      </c>
    </row>
    <row r="254" spans="1:9" x14ac:dyDescent="0.35">
      <c r="A254" t="s">
        <v>294</v>
      </c>
      <c r="B254" s="4">
        <v>46077</v>
      </c>
      <c r="C254" s="3" t="s">
        <v>24</v>
      </c>
      <c r="D254" s="3" t="s">
        <v>16</v>
      </c>
      <c r="E254" t="s">
        <v>61</v>
      </c>
      <c r="F254" t="s">
        <v>13</v>
      </c>
      <c r="G254" s="3">
        <v>8</v>
      </c>
      <c r="H254">
        <v>7900</v>
      </c>
      <c r="I254">
        <v>63200</v>
      </c>
    </row>
    <row r="255" spans="1:9" x14ac:dyDescent="0.35">
      <c r="A255" t="s">
        <v>295</v>
      </c>
      <c r="B255" s="4">
        <v>46184</v>
      </c>
      <c r="C255" s="3" t="s">
        <v>10</v>
      </c>
      <c r="D255" s="3" t="s">
        <v>49</v>
      </c>
      <c r="E255" t="s">
        <v>61</v>
      </c>
      <c r="F255" t="s">
        <v>13</v>
      </c>
      <c r="G255" s="3">
        <v>2</v>
      </c>
      <c r="H255">
        <v>7900</v>
      </c>
      <c r="I255">
        <v>15800</v>
      </c>
    </row>
    <row r="256" spans="1:9" x14ac:dyDescent="0.35">
      <c r="A256" t="s">
        <v>296</v>
      </c>
      <c r="B256" s="4">
        <v>46157</v>
      </c>
      <c r="C256" s="3" t="s">
        <v>65</v>
      </c>
      <c r="D256" s="3" t="s">
        <v>25</v>
      </c>
      <c r="E256" t="s">
        <v>63</v>
      </c>
      <c r="F256" t="s">
        <v>55</v>
      </c>
      <c r="G256" s="3">
        <v>4</v>
      </c>
      <c r="H256">
        <v>30600</v>
      </c>
      <c r="I256">
        <v>122400</v>
      </c>
    </row>
    <row r="257" spans="1:9" x14ac:dyDescent="0.35">
      <c r="A257" t="s">
        <v>297</v>
      </c>
      <c r="B257" s="4">
        <v>46203</v>
      </c>
      <c r="C257" s="3" t="s">
        <v>31</v>
      </c>
      <c r="D257" s="3" t="s">
        <v>25</v>
      </c>
      <c r="E257" t="s">
        <v>26</v>
      </c>
      <c r="F257" t="s">
        <v>18</v>
      </c>
      <c r="G257" s="3">
        <v>8</v>
      </c>
      <c r="H257">
        <v>87500</v>
      </c>
      <c r="I257">
        <v>700000</v>
      </c>
    </row>
    <row r="258" spans="1:9" x14ac:dyDescent="0.35">
      <c r="A258" t="s">
        <v>298</v>
      </c>
      <c r="B258" s="4">
        <v>46077</v>
      </c>
      <c r="C258" s="3" t="s">
        <v>51</v>
      </c>
      <c r="D258" s="3" t="s">
        <v>11</v>
      </c>
      <c r="E258" t="s">
        <v>37</v>
      </c>
      <c r="F258" t="s">
        <v>18</v>
      </c>
      <c r="G258" s="3">
        <v>2</v>
      </c>
      <c r="H258">
        <v>49900</v>
      </c>
      <c r="I258">
        <v>99800</v>
      </c>
    </row>
    <row r="259" spans="1:9" x14ac:dyDescent="0.35">
      <c r="A259" t="s">
        <v>299</v>
      </c>
      <c r="B259" s="4">
        <v>46166</v>
      </c>
      <c r="C259" s="3" t="s">
        <v>24</v>
      </c>
      <c r="D259" s="3" t="s">
        <v>49</v>
      </c>
      <c r="E259" t="s">
        <v>21</v>
      </c>
      <c r="F259" t="s">
        <v>22</v>
      </c>
      <c r="G259" s="3">
        <v>5</v>
      </c>
      <c r="H259">
        <v>26800</v>
      </c>
      <c r="I259">
        <v>134000</v>
      </c>
    </row>
    <row r="260" spans="1:9" x14ac:dyDescent="0.35">
      <c r="A260" t="s">
        <v>300</v>
      </c>
      <c r="B260" s="4">
        <v>46033</v>
      </c>
      <c r="C260" s="3" t="s">
        <v>15</v>
      </c>
      <c r="D260" s="3" t="s">
        <v>11</v>
      </c>
      <c r="E260" t="s">
        <v>37</v>
      </c>
      <c r="F260" t="s">
        <v>18</v>
      </c>
      <c r="G260" s="3">
        <v>4</v>
      </c>
      <c r="H260">
        <v>46900</v>
      </c>
      <c r="I260">
        <v>187600</v>
      </c>
    </row>
    <row r="261" spans="1:9" x14ac:dyDescent="0.35">
      <c r="A261" t="s">
        <v>301</v>
      </c>
      <c r="B261" s="4">
        <v>46027</v>
      </c>
      <c r="C261" s="3" t="s">
        <v>31</v>
      </c>
      <c r="D261" s="3" t="s">
        <v>74</v>
      </c>
      <c r="E261" t="s">
        <v>63</v>
      </c>
      <c r="F261" t="s">
        <v>55</v>
      </c>
      <c r="G261" s="3">
        <v>8</v>
      </c>
      <c r="H261">
        <v>31400</v>
      </c>
      <c r="I261">
        <v>251200</v>
      </c>
    </row>
    <row r="262" spans="1:9" x14ac:dyDescent="0.35">
      <c r="A262" t="s">
        <v>302</v>
      </c>
      <c r="B262" s="4">
        <v>46114</v>
      </c>
      <c r="C262" s="3" t="s">
        <v>39</v>
      </c>
      <c r="D262" s="3" t="s">
        <v>74</v>
      </c>
      <c r="E262" t="s">
        <v>17</v>
      </c>
      <c r="F262" t="s">
        <v>18</v>
      </c>
      <c r="G262" s="3">
        <v>2</v>
      </c>
      <c r="H262">
        <v>33700</v>
      </c>
      <c r="I262">
        <v>67400</v>
      </c>
    </row>
    <row r="263" spans="1:9" x14ac:dyDescent="0.35">
      <c r="A263" t="s">
        <v>303</v>
      </c>
      <c r="B263" s="4">
        <v>46028</v>
      </c>
      <c r="C263" s="3" t="s">
        <v>10</v>
      </c>
      <c r="D263" s="3" t="s">
        <v>16</v>
      </c>
      <c r="E263" t="s">
        <v>32</v>
      </c>
      <c r="F263" t="s">
        <v>13</v>
      </c>
      <c r="G263" s="3">
        <v>4</v>
      </c>
      <c r="H263">
        <v>5000</v>
      </c>
      <c r="I263">
        <v>20000</v>
      </c>
    </row>
    <row r="264" spans="1:9" x14ac:dyDescent="0.35">
      <c r="A264" t="s">
        <v>304</v>
      </c>
      <c r="B264" s="4">
        <v>46124</v>
      </c>
      <c r="C264" s="3" t="s">
        <v>39</v>
      </c>
      <c r="D264" s="3" t="s">
        <v>74</v>
      </c>
      <c r="E264" t="s">
        <v>32</v>
      </c>
      <c r="F264" t="s">
        <v>13</v>
      </c>
      <c r="G264" s="3">
        <v>5</v>
      </c>
      <c r="H264">
        <v>3800</v>
      </c>
      <c r="I264">
        <v>19000</v>
      </c>
    </row>
    <row r="265" spans="1:9" x14ac:dyDescent="0.35">
      <c r="A265" t="s">
        <v>305</v>
      </c>
      <c r="B265" s="4">
        <v>46130</v>
      </c>
      <c r="C265" s="3" t="s">
        <v>51</v>
      </c>
      <c r="D265" s="3" t="s">
        <v>74</v>
      </c>
      <c r="E265" t="s">
        <v>37</v>
      </c>
      <c r="F265" t="s">
        <v>18</v>
      </c>
      <c r="G265" s="3">
        <v>1</v>
      </c>
      <c r="H265">
        <v>50200</v>
      </c>
      <c r="I265">
        <v>50200</v>
      </c>
    </row>
    <row r="266" spans="1:9" x14ac:dyDescent="0.35">
      <c r="A266" t="s">
        <v>306</v>
      </c>
      <c r="B266" s="4">
        <v>46153</v>
      </c>
      <c r="C266" s="3" t="s">
        <v>39</v>
      </c>
      <c r="D266" s="3" t="s">
        <v>36</v>
      </c>
      <c r="E266" t="s">
        <v>40</v>
      </c>
      <c r="F266" t="s">
        <v>13</v>
      </c>
      <c r="G266" s="3">
        <v>2</v>
      </c>
      <c r="H266">
        <v>6500</v>
      </c>
      <c r="I266">
        <v>13000</v>
      </c>
    </row>
    <row r="267" spans="1:9" x14ac:dyDescent="0.35">
      <c r="A267" t="s">
        <v>307</v>
      </c>
      <c r="B267" s="4">
        <v>46128</v>
      </c>
      <c r="C267" s="3" t="s">
        <v>24</v>
      </c>
      <c r="D267" s="3" t="s">
        <v>74</v>
      </c>
      <c r="E267" t="s">
        <v>32</v>
      </c>
      <c r="F267" t="s">
        <v>13</v>
      </c>
      <c r="G267" s="3">
        <v>7</v>
      </c>
      <c r="H267">
        <v>4800</v>
      </c>
      <c r="I267">
        <v>33600</v>
      </c>
    </row>
    <row r="268" spans="1:9" x14ac:dyDescent="0.35">
      <c r="A268" t="s">
        <v>308</v>
      </c>
      <c r="B268" s="4">
        <v>46202</v>
      </c>
      <c r="C268" s="3" t="s">
        <v>24</v>
      </c>
      <c r="D268" s="3" t="s">
        <v>36</v>
      </c>
      <c r="E268" t="s">
        <v>26</v>
      </c>
      <c r="F268" t="s">
        <v>18</v>
      </c>
      <c r="G268" s="3">
        <v>6</v>
      </c>
      <c r="H268">
        <v>88700</v>
      </c>
      <c r="I268">
        <v>532200</v>
      </c>
    </row>
    <row r="269" spans="1:9" x14ac:dyDescent="0.35">
      <c r="A269" t="s">
        <v>309</v>
      </c>
      <c r="B269" s="4">
        <v>46119</v>
      </c>
      <c r="C269" s="3" t="s">
        <v>34</v>
      </c>
      <c r="D269" s="3" t="s">
        <v>49</v>
      </c>
      <c r="E269" t="s">
        <v>32</v>
      </c>
      <c r="F269" t="s">
        <v>13</v>
      </c>
      <c r="G269" s="3">
        <v>2</v>
      </c>
      <c r="H269">
        <v>4200</v>
      </c>
      <c r="I269">
        <v>8400</v>
      </c>
    </row>
    <row r="270" spans="1:9" x14ac:dyDescent="0.35">
      <c r="A270" t="s">
        <v>310</v>
      </c>
      <c r="B270" s="4">
        <v>46055</v>
      </c>
      <c r="C270" s="3" t="s">
        <v>29</v>
      </c>
      <c r="D270" s="3" t="s">
        <v>16</v>
      </c>
      <c r="E270" t="s">
        <v>63</v>
      </c>
      <c r="F270" t="s">
        <v>55</v>
      </c>
      <c r="G270" s="3">
        <v>3</v>
      </c>
      <c r="H270">
        <v>32100</v>
      </c>
      <c r="I270">
        <v>96300</v>
      </c>
    </row>
    <row r="271" spans="1:9" x14ac:dyDescent="0.35">
      <c r="A271" t="s">
        <v>311</v>
      </c>
      <c r="B271" s="4">
        <v>46186</v>
      </c>
      <c r="C271" s="3" t="s">
        <v>51</v>
      </c>
      <c r="D271" s="3" t="s">
        <v>16</v>
      </c>
      <c r="E271" t="s">
        <v>12</v>
      </c>
      <c r="F271" t="s">
        <v>13</v>
      </c>
      <c r="G271" s="3">
        <v>3</v>
      </c>
      <c r="H271">
        <v>2600</v>
      </c>
      <c r="I271">
        <v>7800</v>
      </c>
    </row>
    <row r="272" spans="1:9" x14ac:dyDescent="0.35">
      <c r="A272" t="s">
        <v>312</v>
      </c>
      <c r="B272" s="4">
        <v>46056</v>
      </c>
      <c r="C272" s="3" t="s">
        <v>65</v>
      </c>
      <c r="D272" s="3" t="s">
        <v>11</v>
      </c>
      <c r="E272" t="s">
        <v>12</v>
      </c>
      <c r="F272" t="s">
        <v>13</v>
      </c>
      <c r="G272" s="3">
        <v>4</v>
      </c>
      <c r="H272">
        <v>2700</v>
      </c>
      <c r="I272">
        <v>10800</v>
      </c>
    </row>
    <row r="273" spans="1:9" x14ac:dyDescent="0.35">
      <c r="A273" t="s">
        <v>313</v>
      </c>
      <c r="B273" s="4">
        <v>46059</v>
      </c>
      <c r="C273" s="3" t="s">
        <v>34</v>
      </c>
      <c r="D273" s="3" t="s">
        <v>74</v>
      </c>
      <c r="E273" t="s">
        <v>63</v>
      </c>
      <c r="F273" t="s">
        <v>55</v>
      </c>
      <c r="G273" s="3">
        <v>6</v>
      </c>
      <c r="H273">
        <v>27600</v>
      </c>
      <c r="I273">
        <v>165600</v>
      </c>
    </row>
    <row r="274" spans="1:9" x14ac:dyDescent="0.35">
      <c r="A274" t="s">
        <v>314</v>
      </c>
      <c r="B274" s="4">
        <v>46070</v>
      </c>
      <c r="C274" s="3" t="s">
        <v>31</v>
      </c>
      <c r="D274" s="3" t="s">
        <v>25</v>
      </c>
      <c r="E274" t="s">
        <v>21</v>
      </c>
      <c r="F274" t="s">
        <v>22</v>
      </c>
      <c r="G274" s="3">
        <v>8</v>
      </c>
      <c r="H274">
        <v>27300</v>
      </c>
      <c r="I274">
        <v>218400</v>
      </c>
    </row>
    <row r="275" spans="1:9" x14ac:dyDescent="0.35">
      <c r="A275" t="s">
        <v>315</v>
      </c>
      <c r="B275" s="4">
        <v>46138</v>
      </c>
      <c r="C275" s="3" t="s">
        <v>65</v>
      </c>
      <c r="D275" s="3" t="s">
        <v>16</v>
      </c>
      <c r="E275" t="s">
        <v>12</v>
      </c>
      <c r="F275" t="s">
        <v>13</v>
      </c>
      <c r="G275" s="3">
        <v>2</v>
      </c>
      <c r="H275">
        <v>2300</v>
      </c>
      <c r="I275">
        <v>4600</v>
      </c>
    </row>
    <row r="276" spans="1:9" x14ac:dyDescent="0.35">
      <c r="A276" t="s">
        <v>316</v>
      </c>
      <c r="B276" s="4">
        <v>46187</v>
      </c>
      <c r="C276" s="3" t="s">
        <v>44</v>
      </c>
      <c r="D276" s="3" t="s">
        <v>16</v>
      </c>
      <c r="E276" t="s">
        <v>40</v>
      </c>
      <c r="F276" t="s">
        <v>13</v>
      </c>
      <c r="G276" s="3">
        <v>8</v>
      </c>
      <c r="H276">
        <v>7400</v>
      </c>
      <c r="I276">
        <v>59200</v>
      </c>
    </row>
    <row r="277" spans="1:9" x14ac:dyDescent="0.35">
      <c r="A277" t="s">
        <v>317</v>
      </c>
      <c r="B277" s="4">
        <v>46088</v>
      </c>
      <c r="C277" s="3" t="s">
        <v>65</v>
      </c>
      <c r="D277" s="3" t="s">
        <v>25</v>
      </c>
      <c r="E277" t="s">
        <v>32</v>
      </c>
      <c r="F277" t="s">
        <v>13</v>
      </c>
      <c r="G277" s="3">
        <v>4</v>
      </c>
      <c r="H277">
        <v>4000</v>
      </c>
      <c r="I277">
        <v>16000</v>
      </c>
    </row>
    <row r="278" spans="1:9" x14ac:dyDescent="0.35">
      <c r="A278" t="s">
        <v>318</v>
      </c>
      <c r="B278" s="4">
        <v>46035</v>
      </c>
      <c r="C278" s="3" t="s">
        <v>31</v>
      </c>
      <c r="D278" s="3" t="s">
        <v>49</v>
      </c>
      <c r="E278" t="s">
        <v>12</v>
      </c>
      <c r="F278" t="s">
        <v>13</v>
      </c>
      <c r="G278" s="3">
        <v>4</v>
      </c>
      <c r="H278">
        <v>2600</v>
      </c>
      <c r="I278">
        <v>10400</v>
      </c>
    </row>
    <row r="279" spans="1:9" x14ac:dyDescent="0.35">
      <c r="A279" t="s">
        <v>319</v>
      </c>
      <c r="B279" s="4">
        <v>46139</v>
      </c>
      <c r="C279" s="3" t="s">
        <v>34</v>
      </c>
      <c r="D279" s="3" t="s">
        <v>49</v>
      </c>
      <c r="E279" t="s">
        <v>12</v>
      </c>
      <c r="F279" t="s">
        <v>13</v>
      </c>
      <c r="G279" s="3">
        <v>2</v>
      </c>
      <c r="H279">
        <v>2400</v>
      </c>
      <c r="I279">
        <v>4800</v>
      </c>
    </row>
    <row r="280" spans="1:9" x14ac:dyDescent="0.35">
      <c r="A280" t="s">
        <v>320</v>
      </c>
      <c r="B280" s="4">
        <v>46118</v>
      </c>
      <c r="C280" s="3" t="s">
        <v>29</v>
      </c>
      <c r="D280" s="3" t="s">
        <v>11</v>
      </c>
      <c r="E280" t="s">
        <v>40</v>
      </c>
      <c r="F280" t="s">
        <v>13</v>
      </c>
      <c r="G280" s="3">
        <v>7</v>
      </c>
      <c r="H280">
        <v>7100</v>
      </c>
      <c r="I280">
        <v>49700</v>
      </c>
    </row>
    <row r="281" spans="1:9" x14ac:dyDescent="0.35">
      <c r="A281" t="s">
        <v>321</v>
      </c>
      <c r="B281" s="4">
        <v>46067</v>
      </c>
      <c r="C281" s="3" t="s">
        <v>44</v>
      </c>
      <c r="D281" s="3" t="s">
        <v>74</v>
      </c>
      <c r="E281" t="s">
        <v>32</v>
      </c>
      <c r="F281" t="s">
        <v>13</v>
      </c>
      <c r="G281" s="3">
        <v>2</v>
      </c>
      <c r="H281">
        <v>4100</v>
      </c>
      <c r="I281">
        <v>8200</v>
      </c>
    </row>
    <row r="282" spans="1:9" x14ac:dyDescent="0.35">
      <c r="A282" t="s">
        <v>322</v>
      </c>
      <c r="B282" s="4">
        <v>46178</v>
      </c>
      <c r="C282" s="3" t="s">
        <v>34</v>
      </c>
      <c r="D282" s="3" t="s">
        <v>49</v>
      </c>
      <c r="E282" t="s">
        <v>12</v>
      </c>
      <c r="F282" t="s">
        <v>13</v>
      </c>
      <c r="G282" s="3">
        <v>7</v>
      </c>
      <c r="H282">
        <v>2700</v>
      </c>
      <c r="I282">
        <v>18900</v>
      </c>
    </row>
    <row r="283" spans="1:9" x14ac:dyDescent="0.35">
      <c r="A283" t="s">
        <v>323</v>
      </c>
      <c r="B283" s="4">
        <v>46069</v>
      </c>
      <c r="C283" s="3" t="s">
        <v>65</v>
      </c>
      <c r="D283" s="3" t="s">
        <v>49</v>
      </c>
      <c r="E283" t="s">
        <v>37</v>
      </c>
      <c r="F283" t="s">
        <v>18</v>
      </c>
      <c r="G283" s="3">
        <v>2</v>
      </c>
      <c r="H283">
        <v>55700</v>
      </c>
      <c r="I283">
        <v>111400</v>
      </c>
    </row>
    <row r="284" spans="1:9" x14ac:dyDescent="0.35">
      <c r="A284" t="s">
        <v>324</v>
      </c>
      <c r="B284" s="4">
        <v>46160</v>
      </c>
      <c r="C284" s="3" t="s">
        <v>15</v>
      </c>
      <c r="D284" s="3" t="s">
        <v>11</v>
      </c>
      <c r="E284" t="s">
        <v>26</v>
      </c>
      <c r="F284" t="s">
        <v>18</v>
      </c>
      <c r="G284" s="3">
        <v>6</v>
      </c>
      <c r="H284">
        <v>90100</v>
      </c>
      <c r="I284">
        <v>540600</v>
      </c>
    </row>
    <row r="285" spans="1:9" x14ac:dyDescent="0.35">
      <c r="A285" t="s">
        <v>325</v>
      </c>
      <c r="B285" s="4">
        <v>46049</v>
      </c>
      <c r="C285" s="3" t="s">
        <v>29</v>
      </c>
      <c r="D285" s="3" t="s">
        <v>49</v>
      </c>
      <c r="E285" t="s">
        <v>26</v>
      </c>
      <c r="F285" t="s">
        <v>18</v>
      </c>
      <c r="G285" s="3">
        <v>6</v>
      </c>
      <c r="H285">
        <v>78900</v>
      </c>
      <c r="I285">
        <v>473400</v>
      </c>
    </row>
    <row r="286" spans="1:9" x14ac:dyDescent="0.35">
      <c r="A286" t="s">
        <v>326</v>
      </c>
      <c r="B286" s="4">
        <v>46124</v>
      </c>
      <c r="C286" s="3" t="s">
        <v>15</v>
      </c>
      <c r="D286" s="3" t="s">
        <v>36</v>
      </c>
      <c r="E286" t="s">
        <v>54</v>
      </c>
      <c r="F286" t="s">
        <v>55</v>
      </c>
      <c r="G286" s="3">
        <v>5</v>
      </c>
      <c r="H286">
        <v>19000</v>
      </c>
      <c r="I286">
        <v>95000</v>
      </c>
    </row>
    <row r="287" spans="1:9" x14ac:dyDescent="0.35">
      <c r="A287" t="s">
        <v>327</v>
      </c>
      <c r="B287" s="4">
        <v>46027</v>
      </c>
      <c r="C287" s="3" t="s">
        <v>39</v>
      </c>
      <c r="D287" s="3" t="s">
        <v>36</v>
      </c>
      <c r="E287" t="s">
        <v>37</v>
      </c>
      <c r="F287" t="s">
        <v>18</v>
      </c>
      <c r="G287" s="3">
        <v>6</v>
      </c>
      <c r="H287">
        <v>50900</v>
      </c>
      <c r="I287">
        <v>305400</v>
      </c>
    </row>
    <row r="288" spans="1:9" x14ac:dyDescent="0.35">
      <c r="A288" t="s">
        <v>328</v>
      </c>
      <c r="B288" s="4">
        <v>46114</v>
      </c>
      <c r="C288" s="3" t="s">
        <v>65</v>
      </c>
      <c r="D288" s="3" t="s">
        <v>74</v>
      </c>
      <c r="E288" t="s">
        <v>17</v>
      </c>
      <c r="F288" t="s">
        <v>18</v>
      </c>
      <c r="G288" s="3">
        <v>1</v>
      </c>
      <c r="H288">
        <v>31100</v>
      </c>
      <c r="I288">
        <v>31100</v>
      </c>
    </row>
    <row r="289" spans="1:9" x14ac:dyDescent="0.35">
      <c r="A289" t="s">
        <v>329</v>
      </c>
      <c r="B289" s="4">
        <v>46119</v>
      </c>
      <c r="C289" s="3" t="s">
        <v>51</v>
      </c>
      <c r="D289" s="3" t="s">
        <v>25</v>
      </c>
      <c r="E289" t="s">
        <v>54</v>
      </c>
      <c r="F289" t="s">
        <v>55</v>
      </c>
      <c r="G289" s="3">
        <v>4</v>
      </c>
      <c r="H289">
        <v>22300</v>
      </c>
      <c r="I289">
        <v>89200</v>
      </c>
    </row>
    <row r="290" spans="1:9" x14ac:dyDescent="0.35">
      <c r="A290" t="s">
        <v>330</v>
      </c>
      <c r="B290" s="4">
        <v>46103</v>
      </c>
      <c r="C290" s="3" t="s">
        <v>46</v>
      </c>
      <c r="D290" s="3" t="s">
        <v>16</v>
      </c>
      <c r="E290" t="s">
        <v>21</v>
      </c>
      <c r="F290" t="s">
        <v>22</v>
      </c>
      <c r="G290" s="3">
        <v>8</v>
      </c>
      <c r="H290">
        <v>28200</v>
      </c>
      <c r="I290">
        <v>225600</v>
      </c>
    </row>
    <row r="291" spans="1:9" x14ac:dyDescent="0.35">
      <c r="A291" t="s">
        <v>331</v>
      </c>
      <c r="B291" s="4">
        <v>46134</v>
      </c>
      <c r="C291" s="3" t="s">
        <v>65</v>
      </c>
      <c r="D291" s="3" t="s">
        <v>36</v>
      </c>
      <c r="E291" t="s">
        <v>17</v>
      </c>
      <c r="F291" t="s">
        <v>18</v>
      </c>
      <c r="G291" s="3">
        <v>6</v>
      </c>
      <c r="H291">
        <v>30300</v>
      </c>
      <c r="I291">
        <v>181800</v>
      </c>
    </row>
    <row r="292" spans="1:9" x14ac:dyDescent="0.35">
      <c r="A292" t="s">
        <v>332</v>
      </c>
      <c r="B292" s="4">
        <v>46146</v>
      </c>
      <c r="C292" s="3" t="s">
        <v>65</v>
      </c>
      <c r="D292" s="3" t="s">
        <v>36</v>
      </c>
      <c r="E292" t="s">
        <v>54</v>
      </c>
      <c r="F292" t="s">
        <v>55</v>
      </c>
      <c r="G292" s="3">
        <v>4</v>
      </c>
      <c r="H292">
        <v>19700</v>
      </c>
      <c r="I292">
        <v>78800</v>
      </c>
    </row>
    <row r="293" spans="1:9" x14ac:dyDescent="0.35">
      <c r="A293" t="s">
        <v>333</v>
      </c>
      <c r="B293" s="4">
        <v>46053</v>
      </c>
      <c r="C293" s="3" t="s">
        <v>29</v>
      </c>
      <c r="D293" s="3" t="s">
        <v>11</v>
      </c>
      <c r="E293" t="s">
        <v>21</v>
      </c>
      <c r="F293" t="s">
        <v>22</v>
      </c>
      <c r="G293" s="3">
        <v>3</v>
      </c>
      <c r="H293">
        <v>30300</v>
      </c>
      <c r="I293">
        <v>90900</v>
      </c>
    </row>
    <row r="294" spans="1:9" x14ac:dyDescent="0.35">
      <c r="A294" t="s">
        <v>334</v>
      </c>
      <c r="B294" s="4">
        <v>46196</v>
      </c>
      <c r="C294" s="3" t="s">
        <v>44</v>
      </c>
      <c r="D294" s="3" t="s">
        <v>11</v>
      </c>
      <c r="E294" t="s">
        <v>54</v>
      </c>
      <c r="F294" t="s">
        <v>55</v>
      </c>
      <c r="G294" s="3">
        <v>6</v>
      </c>
      <c r="H294">
        <v>22300</v>
      </c>
      <c r="I294">
        <v>133800</v>
      </c>
    </row>
    <row r="295" spans="1:9" x14ac:dyDescent="0.35">
      <c r="A295" t="s">
        <v>335</v>
      </c>
      <c r="B295" s="4">
        <v>46068</v>
      </c>
      <c r="C295" s="3" t="s">
        <v>15</v>
      </c>
      <c r="D295" s="3" t="s">
        <v>74</v>
      </c>
      <c r="E295" t="s">
        <v>32</v>
      </c>
      <c r="F295" t="s">
        <v>13</v>
      </c>
      <c r="G295" s="3">
        <v>3</v>
      </c>
      <c r="H295">
        <v>4400</v>
      </c>
      <c r="I295">
        <v>13200</v>
      </c>
    </row>
    <row r="296" spans="1:9" x14ac:dyDescent="0.35">
      <c r="A296" t="s">
        <v>336</v>
      </c>
      <c r="B296" s="4">
        <v>46115</v>
      </c>
      <c r="C296" s="3" t="s">
        <v>44</v>
      </c>
      <c r="D296" s="3" t="s">
        <v>25</v>
      </c>
      <c r="E296" t="s">
        <v>26</v>
      </c>
      <c r="F296" t="s">
        <v>18</v>
      </c>
      <c r="G296" s="3">
        <v>8</v>
      </c>
      <c r="H296">
        <v>73500</v>
      </c>
      <c r="I296">
        <v>588000</v>
      </c>
    </row>
    <row r="297" spans="1:9" x14ac:dyDescent="0.35">
      <c r="A297" t="s">
        <v>337</v>
      </c>
      <c r="B297" s="4">
        <v>46160</v>
      </c>
      <c r="C297" s="3" t="s">
        <v>15</v>
      </c>
      <c r="D297" s="3" t="s">
        <v>25</v>
      </c>
      <c r="E297" t="s">
        <v>37</v>
      </c>
      <c r="F297" t="s">
        <v>18</v>
      </c>
      <c r="G297" s="3">
        <v>2</v>
      </c>
      <c r="H297">
        <v>57300</v>
      </c>
      <c r="I297">
        <v>114600</v>
      </c>
    </row>
    <row r="298" spans="1:9" x14ac:dyDescent="0.35">
      <c r="A298" t="s">
        <v>338</v>
      </c>
      <c r="B298" s="4">
        <v>46093</v>
      </c>
      <c r="C298" s="3" t="s">
        <v>24</v>
      </c>
      <c r="D298" s="3" t="s">
        <v>16</v>
      </c>
      <c r="E298" t="s">
        <v>54</v>
      </c>
      <c r="F298" t="s">
        <v>55</v>
      </c>
      <c r="G298" s="3">
        <v>7</v>
      </c>
      <c r="H298">
        <v>22300</v>
      </c>
      <c r="I298">
        <v>156100</v>
      </c>
    </row>
    <row r="299" spans="1:9" x14ac:dyDescent="0.35">
      <c r="A299" t="s">
        <v>339</v>
      </c>
      <c r="B299" s="4">
        <v>46053</v>
      </c>
      <c r="C299" s="3" t="s">
        <v>29</v>
      </c>
      <c r="D299" s="3" t="s">
        <v>25</v>
      </c>
      <c r="E299" t="s">
        <v>40</v>
      </c>
      <c r="F299" t="s">
        <v>13</v>
      </c>
      <c r="G299" s="3">
        <v>8</v>
      </c>
      <c r="H299">
        <v>6000</v>
      </c>
      <c r="I299">
        <v>48000</v>
      </c>
    </row>
    <row r="300" spans="1:9" x14ac:dyDescent="0.35">
      <c r="A300" t="s">
        <v>340</v>
      </c>
      <c r="B300" s="4">
        <v>46142</v>
      </c>
      <c r="C300" s="3" t="s">
        <v>10</v>
      </c>
      <c r="D300" s="3" t="s">
        <v>74</v>
      </c>
      <c r="E300" t="s">
        <v>32</v>
      </c>
      <c r="F300" t="s">
        <v>13</v>
      </c>
      <c r="G300" s="3">
        <v>6</v>
      </c>
      <c r="H300">
        <v>4300</v>
      </c>
      <c r="I300">
        <v>25800</v>
      </c>
    </row>
    <row r="301" spans="1:9" x14ac:dyDescent="0.35">
      <c r="A301" t="s">
        <v>341</v>
      </c>
      <c r="B301" s="4">
        <v>46173</v>
      </c>
      <c r="C301" s="3" t="s">
        <v>65</v>
      </c>
      <c r="D301" s="3" t="s">
        <v>25</v>
      </c>
      <c r="E301" t="s">
        <v>40</v>
      </c>
      <c r="F301" t="s">
        <v>13</v>
      </c>
      <c r="G301" s="3">
        <v>3</v>
      </c>
      <c r="H301">
        <v>5700</v>
      </c>
      <c r="I301">
        <v>17100</v>
      </c>
    </row>
    <row r="302" spans="1:9" x14ac:dyDescent="0.35">
      <c r="A302" t="s">
        <v>342</v>
      </c>
      <c r="B302" s="4">
        <v>46181</v>
      </c>
      <c r="C302" s="3" t="s">
        <v>39</v>
      </c>
      <c r="D302" s="3" t="s">
        <v>74</v>
      </c>
      <c r="E302" t="s">
        <v>17</v>
      </c>
      <c r="F302" t="s">
        <v>18</v>
      </c>
      <c r="G302" s="3">
        <v>5</v>
      </c>
      <c r="H302">
        <v>38500</v>
      </c>
      <c r="I302">
        <v>192500</v>
      </c>
    </row>
    <row r="303" spans="1:9" x14ac:dyDescent="0.35">
      <c r="A303" t="s">
        <v>343</v>
      </c>
      <c r="B303" s="4">
        <v>46023</v>
      </c>
      <c r="C303" s="3" t="s">
        <v>34</v>
      </c>
      <c r="D303" s="3" t="s">
        <v>74</v>
      </c>
      <c r="E303" t="s">
        <v>17</v>
      </c>
      <c r="F303" t="s">
        <v>18</v>
      </c>
      <c r="G303" s="3">
        <v>7</v>
      </c>
      <c r="H303">
        <v>38800</v>
      </c>
      <c r="I303">
        <v>271600</v>
      </c>
    </row>
    <row r="304" spans="1:9" x14ac:dyDescent="0.35">
      <c r="A304" t="s">
        <v>344</v>
      </c>
      <c r="B304" s="4">
        <v>46098</v>
      </c>
      <c r="C304" s="3" t="s">
        <v>34</v>
      </c>
      <c r="D304" s="3" t="s">
        <v>36</v>
      </c>
      <c r="E304" t="s">
        <v>54</v>
      </c>
      <c r="F304" t="s">
        <v>55</v>
      </c>
      <c r="G304" s="3">
        <v>4</v>
      </c>
      <c r="H304">
        <v>23600</v>
      </c>
      <c r="I304">
        <v>94400</v>
      </c>
    </row>
    <row r="305" spans="1:9" x14ac:dyDescent="0.35">
      <c r="A305" t="s">
        <v>345</v>
      </c>
      <c r="B305" s="4">
        <v>46189</v>
      </c>
      <c r="C305" s="3" t="s">
        <v>31</v>
      </c>
      <c r="D305" s="3" t="s">
        <v>36</v>
      </c>
      <c r="E305" t="s">
        <v>40</v>
      </c>
      <c r="F305" t="s">
        <v>13</v>
      </c>
      <c r="G305" s="3">
        <v>2</v>
      </c>
      <c r="H305">
        <v>6800</v>
      </c>
      <c r="I305">
        <v>13600</v>
      </c>
    </row>
    <row r="306" spans="1:9" x14ac:dyDescent="0.35">
      <c r="A306" t="s">
        <v>346</v>
      </c>
      <c r="B306" s="4">
        <v>46152</v>
      </c>
      <c r="C306" s="3" t="s">
        <v>34</v>
      </c>
      <c r="D306" s="3" t="s">
        <v>16</v>
      </c>
      <c r="E306" t="s">
        <v>26</v>
      </c>
      <c r="F306" t="s">
        <v>18</v>
      </c>
      <c r="G306" s="3">
        <v>4</v>
      </c>
      <c r="H306">
        <v>85600</v>
      </c>
      <c r="I306">
        <v>342400</v>
      </c>
    </row>
    <row r="307" spans="1:9" x14ac:dyDescent="0.35">
      <c r="A307" t="s">
        <v>347</v>
      </c>
      <c r="B307" s="4">
        <v>46111</v>
      </c>
      <c r="C307" s="3" t="s">
        <v>44</v>
      </c>
      <c r="D307" s="3" t="s">
        <v>36</v>
      </c>
      <c r="E307" t="s">
        <v>63</v>
      </c>
      <c r="F307" t="s">
        <v>55</v>
      </c>
      <c r="G307" s="3">
        <v>2</v>
      </c>
      <c r="H307">
        <v>25900</v>
      </c>
      <c r="I307">
        <v>51800</v>
      </c>
    </row>
    <row r="308" spans="1:9" x14ac:dyDescent="0.35">
      <c r="A308" t="s">
        <v>348</v>
      </c>
      <c r="B308" s="4">
        <v>46111</v>
      </c>
      <c r="C308" s="3" t="s">
        <v>65</v>
      </c>
      <c r="D308" s="3" t="s">
        <v>16</v>
      </c>
      <c r="E308" t="s">
        <v>37</v>
      </c>
      <c r="F308" t="s">
        <v>18</v>
      </c>
      <c r="G308" s="3">
        <v>2</v>
      </c>
      <c r="H308">
        <v>51800</v>
      </c>
      <c r="I308">
        <v>103600</v>
      </c>
    </row>
    <row r="309" spans="1:9" x14ac:dyDescent="0.35">
      <c r="A309" t="s">
        <v>349</v>
      </c>
      <c r="B309" s="4">
        <v>46174</v>
      </c>
      <c r="C309" s="3" t="s">
        <v>20</v>
      </c>
      <c r="D309" s="3" t="s">
        <v>25</v>
      </c>
      <c r="E309" t="s">
        <v>40</v>
      </c>
      <c r="F309" t="s">
        <v>13</v>
      </c>
      <c r="G309" s="3">
        <v>4</v>
      </c>
      <c r="H309">
        <v>6400</v>
      </c>
      <c r="I309">
        <v>25600</v>
      </c>
    </row>
    <row r="310" spans="1:9" x14ac:dyDescent="0.35">
      <c r="A310" t="s">
        <v>350</v>
      </c>
      <c r="B310" s="4">
        <v>46197</v>
      </c>
      <c r="C310" s="3" t="s">
        <v>51</v>
      </c>
      <c r="D310" s="3" t="s">
        <v>25</v>
      </c>
      <c r="E310" t="s">
        <v>37</v>
      </c>
      <c r="F310" t="s">
        <v>18</v>
      </c>
      <c r="G310" s="3">
        <v>8</v>
      </c>
      <c r="H310">
        <v>47200</v>
      </c>
      <c r="I310">
        <v>377600</v>
      </c>
    </row>
    <row r="311" spans="1:9" x14ac:dyDescent="0.35">
      <c r="A311" t="s">
        <v>351</v>
      </c>
      <c r="B311" s="4">
        <v>46103</v>
      </c>
      <c r="C311" s="3" t="s">
        <v>31</v>
      </c>
      <c r="D311" s="3" t="s">
        <v>11</v>
      </c>
      <c r="E311" t="s">
        <v>26</v>
      </c>
      <c r="F311" t="s">
        <v>18</v>
      </c>
      <c r="G311" s="3">
        <v>2</v>
      </c>
      <c r="H311">
        <v>78900</v>
      </c>
      <c r="I311">
        <v>157800</v>
      </c>
    </row>
    <row r="312" spans="1:9" x14ac:dyDescent="0.35">
      <c r="A312" t="s">
        <v>352</v>
      </c>
      <c r="B312" s="4">
        <v>46204</v>
      </c>
      <c r="C312" s="3" t="s">
        <v>31</v>
      </c>
      <c r="D312" s="3" t="s">
        <v>74</v>
      </c>
      <c r="E312" t="s">
        <v>54</v>
      </c>
      <c r="F312" t="s">
        <v>55</v>
      </c>
      <c r="G312" s="3">
        <v>7</v>
      </c>
      <c r="H312">
        <v>24100</v>
      </c>
      <c r="I312">
        <v>168700</v>
      </c>
    </row>
    <row r="313" spans="1:9" x14ac:dyDescent="0.35">
      <c r="A313" t="s">
        <v>353</v>
      </c>
      <c r="B313" s="4">
        <v>46127</v>
      </c>
      <c r="C313" s="3" t="s">
        <v>31</v>
      </c>
      <c r="D313" s="3" t="s">
        <v>25</v>
      </c>
      <c r="E313" t="s">
        <v>54</v>
      </c>
      <c r="F313" t="s">
        <v>55</v>
      </c>
      <c r="G313" s="3">
        <v>4</v>
      </c>
      <c r="H313">
        <v>19700</v>
      </c>
      <c r="I313">
        <v>78800</v>
      </c>
    </row>
    <row r="314" spans="1:9" x14ac:dyDescent="0.35">
      <c r="A314" t="s">
        <v>354</v>
      </c>
      <c r="B314" s="4">
        <v>46025</v>
      </c>
      <c r="C314" s="3" t="s">
        <v>31</v>
      </c>
      <c r="D314" s="3" t="s">
        <v>11</v>
      </c>
      <c r="E314" t="s">
        <v>54</v>
      </c>
      <c r="F314" t="s">
        <v>55</v>
      </c>
      <c r="G314" s="3">
        <v>8</v>
      </c>
      <c r="H314">
        <v>20800</v>
      </c>
      <c r="I314">
        <v>166400</v>
      </c>
    </row>
    <row r="315" spans="1:9" x14ac:dyDescent="0.35">
      <c r="A315" t="s">
        <v>355</v>
      </c>
      <c r="B315" s="4">
        <v>46136</v>
      </c>
      <c r="C315" s="3" t="s">
        <v>31</v>
      </c>
      <c r="D315" s="3" t="s">
        <v>36</v>
      </c>
      <c r="E315" t="s">
        <v>63</v>
      </c>
      <c r="F315" t="s">
        <v>55</v>
      </c>
      <c r="G315" s="3">
        <v>4</v>
      </c>
      <c r="H315">
        <v>30200</v>
      </c>
      <c r="I315">
        <v>120800</v>
      </c>
    </row>
    <row r="316" spans="1:9" x14ac:dyDescent="0.35">
      <c r="A316" t="s">
        <v>356</v>
      </c>
      <c r="B316" s="4">
        <v>46049</v>
      </c>
      <c r="C316" s="3" t="s">
        <v>46</v>
      </c>
      <c r="D316" s="3" t="s">
        <v>36</v>
      </c>
      <c r="E316" t="s">
        <v>54</v>
      </c>
      <c r="F316" t="s">
        <v>55</v>
      </c>
      <c r="G316" s="3">
        <v>4</v>
      </c>
      <c r="H316">
        <v>19300</v>
      </c>
      <c r="I316">
        <v>77200</v>
      </c>
    </row>
    <row r="317" spans="1:9" x14ac:dyDescent="0.35">
      <c r="A317" t="s">
        <v>357</v>
      </c>
      <c r="B317" s="4">
        <v>46065</v>
      </c>
      <c r="C317" s="3" t="s">
        <v>29</v>
      </c>
      <c r="D317" s="3" t="s">
        <v>25</v>
      </c>
      <c r="E317" t="s">
        <v>61</v>
      </c>
      <c r="F317" t="s">
        <v>13</v>
      </c>
      <c r="G317" s="3">
        <v>7</v>
      </c>
      <c r="H317">
        <v>8400</v>
      </c>
      <c r="I317">
        <v>58800</v>
      </c>
    </row>
    <row r="318" spans="1:9" x14ac:dyDescent="0.35">
      <c r="A318" t="s">
        <v>358</v>
      </c>
      <c r="B318" s="4">
        <v>46058</v>
      </c>
      <c r="C318" s="3" t="s">
        <v>44</v>
      </c>
      <c r="D318" s="3" t="s">
        <v>11</v>
      </c>
      <c r="E318" t="s">
        <v>21</v>
      </c>
      <c r="F318" t="s">
        <v>22</v>
      </c>
      <c r="G318" s="3">
        <v>7</v>
      </c>
      <c r="H318">
        <v>30100</v>
      </c>
      <c r="I318">
        <v>210700</v>
      </c>
    </row>
    <row r="319" spans="1:9" x14ac:dyDescent="0.35">
      <c r="A319" t="s">
        <v>359</v>
      </c>
      <c r="B319" s="4">
        <v>46123</v>
      </c>
      <c r="C319" s="3" t="s">
        <v>24</v>
      </c>
      <c r="D319" s="3" t="s">
        <v>49</v>
      </c>
      <c r="E319" t="s">
        <v>32</v>
      </c>
      <c r="F319" t="s">
        <v>13</v>
      </c>
      <c r="G319" s="3">
        <v>4</v>
      </c>
      <c r="H319">
        <v>4000</v>
      </c>
      <c r="I319">
        <v>16000</v>
      </c>
    </row>
    <row r="320" spans="1:9" x14ac:dyDescent="0.35">
      <c r="A320" t="s">
        <v>360</v>
      </c>
      <c r="B320" s="4">
        <v>46094</v>
      </c>
      <c r="C320" s="3" t="s">
        <v>15</v>
      </c>
      <c r="D320" s="3" t="s">
        <v>25</v>
      </c>
      <c r="E320" t="s">
        <v>21</v>
      </c>
      <c r="F320" t="s">
        <v>22</v>
      </c>
      <c r="G320" s="3">
        <v>6</v>
      </c>
      <c r="H320">
        <v>24800</v>
      </c>
      <c r="I320">
        <v>148800</v>
      </c>
    </row>
    <row r="321" spans="1:9" x14ac:dyDescent="0.35">
      <c r="A321" t="s">
        <v>361</v>
      </c>
      <c r="B321" s="4">
        <v>46077</v>
      </c>
      <c r="C321" s="3" t="s">
        <v>34</v>
      </c>
      <c r="D321" s="3" t="s">
        <v>11</v>
      </c>
      <c r="E321" t="s">
        <v>32</v>
      </c>
      <c r="F321" t="s">
        <v>13</v>
      </c>
      <c r="G321" s="3">
        <v>8</v>
      </c>
      <c r="H321">
        <v>4300</v>
      </c>
      <c r="I321">
        <v>34400</v>
      </c>
    </row>
    <row r="322" spans="1:9" x14ac:dyDescent="0.35">
      <c r="A322" t="s">
        <v>362</v>
      </c>
      <c r="B322" s="4">
        <v>46123</v>
      </c>
      <c r="C322" s="3" t="s">
        <v>65</v>
      </c>
      <c r="D322" s="3" t="s">
        <v>16</v>
      </c>
      <c r="E322" t="s">
        <v>63</v>
      </c>
      <c r="F322" t="s">
        <v>55</v>
      </c>
      <c r="G322" s="3">
        <v>4</v>
      </c>
      <c r="H322">
        <v>27200</v>
      </c>
      <c r="I322">
        <v>108800</v>
      </c>
    </row>
    <row r="323" spans="1:9" x14ac:dyDescent="0.35">
      <c r="A323" t="s">
        <v>363</v>
      </c>
      <c r="B323" s="4">
        <v>46036</v>
      </c>
      <c r="C323" s="3" t="s">
        <v>46</v>
      </c>
      <c r="D323" s="3" t="s">
        <v>11</v>
      </c>
      <c r="E323" t="s">
        <v>21</v>
      </c>
      <c r="F323" t="s">
        <v>22</v>
      </c>
      <c r="G323" s="3">
        <v>1</v>
      </c>
      <c r="H323">
        <v>25300</v>
      </c>
      <c r="I323">
        <v>25300</v>
      </c>
    </row>
    <row r="324" spans="1:9" x14ac:dyDescent="0.35">
      <c r="A324" t="s">
        <v>364</v>
      </c>
      <c r="B324" s="4">
        <v>46120</v>
      </c>
      <c r="C324" s="3" t="s">
        <v>34</v>
      </c>
      <c r="D324" s="3" t="s">
        <v>11</v>
      </c>
      <c r="E324" t="s">
        <v>12</v>
      </c>
      <c r="F324" t="s">
        <v>13</v>
      </c>
      <c r="G324" s="3">
        <v>7</v>
      </c>
      <c r="H324">
        <v>2600</v>
      </c>
      <c r="I324">
        <v>18200</v>
      </c>
    </row>
    <row r="325" spans="1:9" x14ac:dyDescent="0.35">
      <c r="A325" t="s">
        <v>365</v>
      </c>
      <c r="B325" s="4">
        <v>46105</v>
      </c>
      <c r="C325" s="3" t="s">
        <v>15</v>
      </c>
      <c r="D325" s="3" t="s">
        <v>49</v>
      </c>
      <c r="E325" t="s">
        <v>63</v>
      </c>
      <c r="F325" t="s">
        <v>55</v>
      </c>
      <c r="G325" s="3">
        <v>1</v>
      </c>
      <c r="H325">
        <v>33500</v>
      </c>
      <c r="I325">
        <v>33500</v>
      </c>
    </row>
    <row r="326" spans="1:9" x14ac:dyDescent="0.35">
      <c r="A326" t="s">
        <v>366</v>
      </c>
      <c r="B326" s="4">
        <v>46155</v>
      </c>
      <c r="C326" s="3" t="s">
        <v>10</v>
      </c>
      <c r="D326" s="3" t="s">
        <v>36</v>
      </c>
      <c r="E326" t="s">
        <v>61</v>
      </c>
      <c r="F326" t="s">
        <v>13</v>
      </c>
      <c r="G326" s="3">
        <v>6</v>
      </c>
      <c r="H326">
        <v>9000</v>
      </c>
      <c r="I326">
        <v>54000</v>
      </c>
    </row>
    <row r="327" spans="1:9" x14ac:dyDescent="0.35">
      <c r="A327" t="s">
        <v>367</v>
      </c>
      <c r="B327" s="4">
        <v>46154</v>
      </c>
      <c r="C327" s="3" t="s">
        <v>31</v>
      </c>
      <c r="D327" s="3" t="s">
        <v>11</v>
      </c>
      <c r="E327" t="s">
        <v>12</v>
      </c>
      <c r="F327" t="s">
        <v>13</v>
      </c>
      <c r="G327" s="3">
        <v>5</v>
      </c>
      <c r="H327">
        <v>2600</v>
      </c>
      <c r="I327">
        <v>13000</v>
      </c>
    </row>
    <row r="328" spans="1:9" x14ac:dyDescent="0.35">
      <c r="A328" t="s">
        <v>368</v>
      </c>
      <c r="B328" s="4">
        <v>46171</v>
      </c>
      <c r="C328" s="3" t="s">
        <v>46</v>
      </c>
      <c r="D328" s="3" t="s">
        <v>25</v>
      </c>
      <c r="E328" t="s">
        <v>17</v>
      </c>
      <c r="F328" t="s">
        <v>18</v>
      </c>
      <c r="G328" s="3">
        <v>3</v>
      </c>
      <c r="H328">
        <v>36000</v>
      </c>
      <c r="I328">
        <v>108000</v>
      </c>
    </row>
    <row r="329" spans="1:9" x14ac:dyDescent="0.35">
      <c r="A329" t="s">
        <v>369</v>
      </c>
      <c r="B329" s="4">
        <v>46062</v>
      </c>
      <c r="C329" s="3" t="s">
        <v>20</v>
      </c>
      <c r="D329" s="3" t="s">
        <v>49</v>
      </c>
      <c r="E329" t="s">
        <v>54</v>
      </c>
      <c r="F329" t="s">
        <v>55</v>
      </c>
      <c r="G329" s="3">
        <v>3</v>
      </c>
      <c r="H329">
        <v>19200</v>
      </c>
      <c r="I329">
        <v>57600</v>
      </c>
    </row>
    <row r="330" spans="1:9" x14ac:dyDescent="0.35">
      <c r="A330" t="s">
        <v>370</v>
      </c>
      <c r="B330" s="4">
        <v>46126</v>
      </c>
      <c r="C330" s="3" t="s">
        <v>39</v>
      </c>
      <c r="D330" s="3" t="s">
        <v>36</v>
      </c>
      <c r="E330" t="s">
        <v>32</v>
      </c>
      <c r="F330" t="s">
        <v>13</v>
      </c>
      <c r="G330" s="3">
        <v>5</v>
      </c>
      <c r="H330">
        <v>4800</v>
      </c>
      <c r="I330">
        <v>24000</v>
      </c>
    </row>
    <row r="331" spans="1:9" x14ac:dyDescent="0.35">
      <c r="A331" t="s">
        <v>371</v>
      </c>
      <c r="B331" s="4">
        <v>46026</v>
      </c>
      <c r="C331" s="3" t="s">
        <v>39</v>
      </c>
      <c r="D331" s="3" t="s">
        <v>49</v>
      </c>
      <c r="E331" t="s">
        <v>63</v>
      </c>
      <c r="F331" t="s">
        <v>55</v>
      </c>
      <c r="G331" s="3">
        <v>2</v>
      </c>
      <c r="H331">
        <v>30300</v>
      </c>
      <c r="I331">
        <v>60600</v>
      </c>
    </row>
    <row r="332" spans="1:9" x14ac:dyDescent="0.35">
      <c r="A332" t="s">
        <v>372</v>
      </c>
      <c r="B332" s="4">
        <v>46079</v>
      </c>
      <c r="C332" s="3" t="s">
        <v>10</v>
      </c>
      <c r="D332" s="3" t="s">
        <v>36</v>
      </c>
      <c r="E332" t="s">
        <v>17</v>
      </c>
      <c r="F332" t="s">
        <v>18</v>
      </c>
      <c r="G332" s="3">
        <v>1</v>
      </c>
      <c r="H332">
        <v>38100</v>
      </c>
      <c r="I332">
        <v>38100</v>
      </c>
    </row>
    <row r="333" spans="1:9" x14ac:dyDescent="0.35">
      <c r="A333" t="s">
        <v>373</v>
      </c>
      <c r="B333" s="4">
        <v>46070</v>
      </c>
      <c r="C333" s="3" t="s">
        <v>31</v>
      </c>
      <c r="D333" s="3" t="s">
        <v>49</v>
      </c>
      <c r="E333" t="s">
        <v>61</v>
      </c>
      <c r="F333" t="s">
        <v>13</v>
      </c>
      <c r="G333" s="3">
        <v>8</v>
      </c>
      <c r="H333">
        <v>7900</v>
      </c>
      <c r="I333">
        <v>63200</v>
      </c>
    </row>
    <row r="334" spans="1:9" x14ac:dyDescent="0.35">
      <c r="A334" t="s">
        <v>374</v>
      </c>
      <c r="B334" s="4">
        <v>46185</v>
      </c>
      <c r="C334" s="3" t="s">
        <v>34</v>
      </c>
      <c r="D334" s="3" t="s">
        <v>11</v>
      </c>
      <c r="E334" t="s">
        <v>54</v>
      </c>
      <c r="F334" t="s">
        <v>55</v>
      </c>
      <c r="G334" s="3">
        <v>6</v>
      </c>
      <c r="H334">
        <v>21300</v>
      </c>
      <c r="I334">
        <v>127800</v>
      </c>
    </row>
    <row r="335" spans="1:9" x14ac:dyDescent="0.35">
      <c r="A335" t="s">
        <v>375</v>
      </c>
      <c r="B335" s="4">
        <v>46169</v>
      </c>
      <c r="C335" s="3" t="s">
        <v>46</v>
      </c>
      <c r="D335" s="3" t="s">
        <v>74</v>
      </c>
      <c r="E335" t="s">
        <v>21</v>
      </c>
      <c r="F335" t="s">
        <v>1046</v>
      </c>
      <c r="G335" s="3">
        <v>8</v>
      </c>
      <c r="H335">
        <v>30200</v>
      </c>
      <c r="I335">
        <v>241600</v>
      </c>
    </row>
    <row r="336" spans="1:9" x14ac:dyDescent="0.35">
      <c r="A336" t="s">
        <v>376</v>
      </c>
      <c r="B336" s="4">
        <v>46093</v>
      </c>
      <c r="C336" s="3" t="s">
        <v>51</v>
      </c>
      <c r="D336" s="3" t="s">
        <v>49</v>
      </c>
      <c r="E336" t="s">
        <v>26</v>
      </c>
      <c r="F336" t="s">
        <v>18</v>
      </c>
      <c r="G336" s="3">
        <v>3</v>
      </c>
      <c r="H336">
        <v>74500</v>
      </c>
      <c r="I336">
        <v>223500</v>
      </c>
    </row>
    <row r="337" spans="1:9" x14ac:dyDescent="0.35">
      <c r="A337" t="s">
        <v>377</v>
      </c>
      <c r="B337" s="4">
        <v>46125</v>
      </c>
      <c r="C337" s="3" t="s">
        <v>15</v>
      </c>
      <c r="D337" s="3" t="s">
        <v>25</v>
      </c>
      <c r="E337" t="s">
        <v>40</v>
      </c>
      <c r="F337" t="s">
        <v>13</v>
      </c>
      <c r="G337" s="3">
        <v>5</v>
      </c>
      <c r="H337">
        <v>5700</v>
      </c>
      <c r="I337">
        <v>28500</v>
      </c>
    </row>
    <row r="338" spans="1:9" x14ac:dyDescent="0.35">
      <c r="A338" t="s">
        <v>378</v>
      </c>
      <c r="B338" s="4">
        <v>46085</v>
      </c>
      <c r="C338" s="3" t="s">
        <v>65</v>
      </c>
      <c r="D338" s="3" t="s">
        <v>25</v>
      </c>
      <c r="E338" t="s">
        <v>17</v>
      </c>
      <c r="F338" t="s">
        <v>18</v>
      </c>
      <c r="G338" s="3">
        <v>1</v>
      </c>
      <c r="H338">
        <v>37500</v>
      </c>
      <c r="I338">
        <v>37500</v>
      </c>
    </row>
    <row r="339" spans="1:9" x14ac:dyDescent="0.35">
      <c r="A339" t="s">
        <v>379</v>
      </c>
      <c r="B339" s="4">
        <v>46104</v>
      </c>
      <c r="C339" s="3" t="s">
        <v>34</v>
      </c>
      <c r="D339" s="3" t="s">
        <v>49</v>
      </c>
      <c r="E339" t="s">
        <v>61</v>
      </c>
      <c r="F339" t="s">
        <v>13</v>
      </c>
      <c r="G339" s="3">
        <v>2</v>
      </c>
      <c r="H339">
        <v>8700</v>
      </c>
      <c r="I339">
        <v>17400</v>
      </c>
    </row>
    <row r="340" spans="1:9" x14ac:dyDescent="0.35">
      <c r="A340" t="s">
        <v>380</v>
      </c>
      <c r="B340" s="4">
        <v>46036</v>
      </c>
      <c r="C340" s="3" t="s">
        <v>34</v>
      </c>
      <c r="D340" s="3" t="s">
        <v>36</v>
      </c>
      <c r="E340" t="s">
        <v>17</v>
      </c>
      <c r="F340" t="s">
        <v>18</v>
      </c>
      <c r="G340" s="3">
        <v>1</v>
      </c>
      <c r="H340">
        <v>33700</v>
      </c>
      <c r="I340">
        <v>33700</v>
      </c>
    </row>
    <row r="341" spans="1:9" x14ac:dyDescent="0.35">
      <c r="A341" t="s">
        <v>381</v>
      </c>
      <c r="B341" s="4">
        <v>46151</v>
      </c>
      <c r="C341" s="3" t="s">
        <v>51</v>
      </c>
      <c r="D341" s="3" t="s">
        <v>16</v>
      </c>
      <c r="E341" t="s">
        <v>54</v>
      </c>
      <c r="F341" t="s">
        <v>55</v>
      </c>
      <c r="G341" s="3">
        <v>5</v>
      </c>
      <c r="H341">
        <v>22800</v>
      </c>
      <c r="I341">
        <v>114000</v>
      </c>
    </row>
    <row r="342" spans="1:9" x14ac:dyDescent="0.35">
      <c r="A342" t="s">
        <v>382</v>
      </c>
      <c r="B342" s="4">
        <v>46104</v>
      </c>
      <c r="C342" s="3" t="s">
        <v>46</v>
      </c>
      <c r="D342" s="3" t="s">
        <v>11</v>
      </c>
      <c r="E342" t="s">
        <v>17</v>
      </c>
      <c r="F342" t="s">
        <v>18</v>
      </c>
      <c r="G342" s="3">
        <v>4</v>
      </c>
      <c r="H342">
        <v>33400</v>
      </c>
      <c r="I342">
        <v>133600</v>
      </c>
    </row>
    <row r="343" spans="1:9" x14ac:dyDescent="0.35">
      <c r="A343" t="s">
        <v>383</v>
      </c>
      <c r="B343" s="4">
        <v>46045</v>
      </c>
      <c r="C343" s="3" t="s">
        <v>44</v>
      </c>
      <c r="D343" s="3" t="s">
        <v>36</v>
      </c>
      <c r="E343" t="s">
        <v>61</v>
      </c>
      <c r="F343" t="s">
        <v>13</v>
      </c>
      <c r="G343" s="3">
        <v>2</v>
      </c>
      <c r="H343">
        <v>7300</v>
      </c>
      <c r="I343">
        <v>14600</v>
      </c>
    </row>
    <row r="344" spans="1:9" x14ac:dyDescent="0.35">
      <c r="A344" t="s">
        <v>384</v>
      </c>
      <c r="B344" s="4">
        <v>46191</v>
      </c>
      <c r="C344" s="3" t="s">
        <v>34</v>
      </c>
      <c r="D344" s="3" t="s">
        <v>49</v>
      </c>
      <c r="E344" t="s">
        <v>17</v>
      </c>
      <c r="F344" t="s">
        <v>18</v>
      </c>
      <c r="G344" s="3">
        <v>2</v>
      </c>
      <c r="H344">
        <v>37800</v>
      </c>
      <c r="I344">
        <v>75600</v>
      </c>
    </row>
    <row r="345" spans="1:9" x14ac:dyDescent="0.35">
      <c r="A345" t="s">
        <v>385</v>
      </c>
      <c r="B345" s="4">
        <v>46099</v>
      </c>
      <c r="C345" s="3" t="s">
        <v>10</v>
      </c>
      <c r="D345" s="3" t="s">
        <v>74</v>
      </c>
      <c r="E345" t="s">
        <v>32</v>
      </c>
      <c r="F345" t="s">
        <v>13</v>
      </c>
      <c r="G345" s="3">
        <v>6</v>
      </c>
      <c r="H345">
        <v>4900</v>
      </c>
      <c r="I345">
        <v>29400</v>
      </c>
    </row>
    <row r="346" spans="1:9" x14ac:dyDescent="0.35">
      <c r="A346" t="s">
        <v>386</v>
      </c>
      <c r="B346" s="4">
        <v>46062</v>
      </c>
      <c r="C346" s="3" t="s">
        <v>29</v>
      </c>
      <c r="D346" s="3" t="s">
        <v>16</v>
      </c>
      <c r="E346" t="s">
        <v>32</v>
      </c>
      <c r="F346" t="s">
        <v>13</v>
      </c>
      <c r="G346" s="3">
        <v>7</v>
      </c>
      <c r="H346">
        <v>5000</v>
      </c>
      <c r="I346">
        <v>35000</v>
      </c>
    </row>
    <row r="347" spans="1:9" x14ac:dyDescent="0.35">
      <c r="A347" t="s">
        <v>387</v>
      </c>
      <c r="B347" s="4">
        <v>46163</v>
      </c>
      <c r="C347" s="3" t="s">
        <v>39</v>
      </c>
      <c r="D347" s="3" t="s">
        <v>49</v>
      </c>
      <c r="E347" t="s">
        <v>54</v>
      </c>
      <c r="F347" t="s">
        <v>55</v>
      </c>
      <c r="G347" s="3">
        <v>6</v>
      </c>
      <c r="H347">
        <v>21500</v>
      </c>
      <c r="I347">
        <v>129000</v>
      </c>
    </row>
    <row r="348" spans="1:9" x14ac:dyDescent="0.35">
      <c r="A348" t="s">
        <v>388</v>
      </c>
      <c r="B348" s="4">
        <v>46189</v>
      </c>
      <c r="C348" s="3" t="s">
        <v>39</v>
      </c>
      <c r="D348" s="3" t="s">
        <v>49</v>
      </c>
      <c r="E348" t="s">
        <v>40</v>
      </c>
      <c r="F348" t="s">
        <v>13</v>
      </c>
      <c r="G348" s="3">
        <v>7</v>
      </c>
      <c r="H348">
        <v>6400</v>
      </c>
      <c r="I348">
        <v>44800</v>
      </c>
    </row>
    <row r="349" spans="1:9" x14ac:dyDescent="0.35">
      <c r="A349" t="s">
        <v>389</v>
      </c>
      <c r="B349" s="4">
        <v>46053</v>
      </c>
      <c r="C349" s="3" t="s">
        <v>44</v>
      </c>
      <c r="D349" s="3" t="s">
        <v>16</v>
      </c>
      <c r="E349" t="s">
        <v>12</v>
      </c>
      <c r="F349" t="s">
        <v>13</v>
      </c>
      <c r="G349" s="3">
        <v>4</v>
      </c>
      <c r="H349">
        <v>2800</v>
      </c>
      <c r="I349">
        <v>11200</v>
      </c>
    </row>
    <row r="350" spans="1:9" x14ac:dyDescent="0.35">
      <c r="A350" t="s">
        <v>390</v>
      </c>
      <c r="B350" s="4">
        <v>46075</v>
      </c>
      <c r="C350" s="3" t="s">
        <v>44</v>
      </c>
      <c r="D350" s="3" t="s">
        <v>49</v>
      </c>
      <c r="E350" t="s">
        <v>17</v>
      </c>
      <c r="F350" t="s">
        <v>18</v>
      </c>
      <c r="G350" s="3">
        <v>1</v>
      </c>
      <c r="H350">
        <v>33700</v>
      </c>
      <c r="I350">
        <v>33700</v>
      </c>
    </row>
    <row r="351" spans="1:9" x14ac:dyDescent="0.35">
      <c r="A351" t="s">
        <v>391</v>
      </c>
      <c r="B351" s="4">
        <v>46135</v>
      </c>
      <c r="C351" s="3" t="s">
        <v>44</v>
      </c>
      <c r="D351" s="3" t="s">
        <v>36</v>
      </c>
      <c r="E351" t="s">
        <v>17</v>
      </c>
      <c r="F351" t="s">
        <v>18</v>
      </c>
      <c r="G351" s="3">
        <v>5</v>
      </c>
      <c r="H351">
        <v>32600</v>
      </c>
      <c r="I351">
        <v>163000</v>
      </c>
    </row>
    <row r="352" spans="1:9" x14ac:dyDescent="0.35">
      <c r="A352" t="s">
        <v>392</v>
      </c>
      <c r="B352" s="4">
        <v>46166</v>
      </c>
      <c r="C352" s="3" t="s">
        <v>15</v>
      </c>
      <c r="D352" s="3" t="s">
        <v>49</v>
      </c>
      <c r="E352" t="s">
        <v>32</v>
      </c>
      <c r="F352" t="s">
        <v>13</v>
      </c>
      <c r="G352" s="3">
        <v>8</v>
      </c>
      <c r="H352">
        <v>4700</v>
      </c>
      <c r="I352">
        <v>37600</v>
      </c>
    </row>
    <row r="353" spans="1:9" x14ac:dyDescent="0.35">
      <c r="A353" t="s">
        <v>393</v>
      </c>
      <c r="B353" s="4">
        <v>46065</v>
      </c>
      <c r="C353" s="3" t="s">
        <v>46</v>
      </c>
      <c r="D353" s="3" t="s">
        <v>74</v>
      </c>
      <c r="E353" t="s">
        <v>61</v>
      </c>
      <c r="F353" t="s">
        <v>13</v>
      </c>
      <c r="G353" s="3">
        <v>7</v>
      </c>
      <c r="H353">
        <v>8900</v>
      </c>
      <c r="I353">
        <v>62300</v>
      </c>
    </row>
    <row r="354" spans="1:9" x14ac:dyDescent="0.35">
      <c r="A354" t="s">
        <v>394</v>
      </c>
      <c r="B354" s="4">
        <v>46088</v>
      </c>
      <c r="C354" s="3" t="s">
        <v>20</v>
      </c>
      <c r="D354" s="3" t="s">
        <v>49</v>
      </c>
      <c r="E354" t="s">
        <v>32</v>
      </c>
      <c r="F354" t="s">
        <v>13</v>
      </c>
      <c r="G354" s="3">
        <v>4</v>
      </c>
      <c r="H354">
        <v>4400</v>
      </c>
      <c r="I354">
        <v>17600</v>
      </c>
    </row>
    <row r="355" spans="1:9" x14ac:dyDescent="0.35">
      <c r="A355" t="s">
        <v>395</v>
      </c>
      <c r="B355" s="4">
        <v>46143</v>
      </c>
      <c r="C355" s="3" t="s">
        <v>65</v>
      </c>
      <c r="D355" s="3" t="s">
        <v>49</v>
      </c>
      <c r="E355" t="s">
        <v>12</v>
      </c>
      <c r="F355" t="s">
        <v>13</v>
      </c>
      <c r="G355" s="3">
        <v>5</v>
      </c>
      <c r="H355">
        <v>2800</v>
      </c>
      <c r="I355">
        <v>14000</v>
      </c>
    </row>
    <row r="356" spans="1:9" x14ac:dyDescent="0.35">
      <c r="A356" t="s">
        <v>396</v>
      </c>
      <c r="B356" s="4">
        <v>46175</v>
      </c>
      <c r="C356" s="3" t="s">
        <v>65</v>
      </c>
      <c r="D356" s="3" t="s">
        <v>36</v>
      </c>
      <c r="E356" t="s">
        <v>26</v>
      </c>
      <c r="F356" t="s">
        <v>18</v>
      </c>
      <c r="G356" s="3">
        <v>7</v>
      </c>
      <c r="H356">
        <v>92600</v>
      </c>
      <c r="I356">
        <v>648200</v>
      </c>
    </row>
    <row r="357" spans="1:9" x14ac:dyDescent="0.35">
      <c r="A357" t="s">
        <v>397</v>
      </c>
      <c r="B357" s="4">
        <v>46072</v>
      </c>
      <c r="C357" s="3" t="s">
        <v>51</v>
      </c>
      <c r="D357" s="3" t="s">
        <v>49</v>
      </c>
      <c r="E357" t="s">
        <v>12</v>
      </c>
      <c r="F357" t="s">
        <v>13</v>
      </c>
      <c r="G357" s="3">
        <v>4</v>
      </c>
      <c r="H357">
        <v>2100</v>
      </c>
      <c r="I357">
        <v>8400</v>
      </c>
    </row>
    <row r="358" spans="1:9" x14ac:dyDescent="0.35">
      <c r="A358" t="s">
        <v>398</v>
      </c>
      <c r="B358" s="4">
        <v>46143</v>
      </c>
      <c r="C358" s="3" t="s">
        <v>31</v>
      </c>
      <c r="D358" s="3" t="s">
        <v>11</v>
      </c>
      <c r="E358" t="s">
        <v>54</v>
      </c>
      <c r="F358" t="s">
        <v>55</v>
      </c>
      <c r="G358" s="3">
        <v>1</v>
      </c>
      <c r="H358">
        <v>21300</v>
      </c>
      <c r="I358">
        <v>21300</v>
      </c>
    </row>
    <row r="359" spans="1:9" x14ac:dyDescent="0.35">
      <c r="A359" t="s">
        <v>399</v>
      </c>
      <c r="B359" s="4">
        <v>46164</v>
      </c>
      <c r="C359" s="3" t="s">
        <v>10</v>
      </c>
      <c r="D359" s="3" t="s">
        <v>11</v>
      </c>
      <c r="E359" t="s">
        <v>40</v>
      </c>
      <c r="F359" t="s">
        <v>13</v>
      </c>
      <c r="G359" s="3">
        <v>1</v>
      </c>
      <c r="H359">
        <v>7400</v>
      </c>
      <c r="I359">
        <v>7400</v>
      </c>
    </row>
    <row r="360" spans="1:9" x14ac:dyDescent="0.35">
      <c r="A360" t="s">
        <v>400</v>
      </c>
      <c r="B360" s="4">
        <v>46134</v>
      </c>
      <c r="C360" s="3" t="s">
        <v>51</v>
      </c>
      <c r="D360" s="3" t="s">
        <v>11</v>
      </c>
      <c r="E360" t="s">
        <v>40</v>
      </c>
      <c r="F360" t="s">
        <v>13</v>
      </c>
      <c r="G360" s="3">
        <v>2</v>
      </c>
      <c r="H360">
        <v>7100</v>
      </c>
      <c r="I360">
        <v>14200</v>
      </c>
    </row>
    <row r="361" spans="1:9" x14ac:dyDescent="0.35">
      <c r="A361" t="s">
        <v>401</v>
      </c>
      <c r="B361" s="4">
        <v>46035</v>
      </c>
      <c r="C361" s="3" t="s">
        <v>34</v>
      </c>
      <c r="D361" s="3" t="s">
        <v>49</v>
      </c>
      <c r="E361" t="s">
        <v>12</v>
      </c>
      <c r="F361" t="s">
        <v>13</v>
      </c>
      <c r="G361" s="3">
        <v>6</v>
      </c>
      <c r="H361">
        <v>2400</v>
      </c>
      <c r="I361">
        <v>14400</v>
      </c>
    </row>
    <row r="362" spans="1:9" x14ac:dyDescent="0.35">
      <c r="A362" t="s">
        <v>402</v>
      </c>
      <c r="B362" s="4">
        <v>46087</v>
      </c>
      <c r="C362" s="3" t="s">
        <v>65</v>
      </c>
      <c r="D362" s="3" t="s">
        <v>11</v>
      </c>
      <c r="E362" t="s">
        <v>21</v>
      </c>
      <c r="F362" t="s">
        <v>22</v>
      </c>
      <c r="G362" s="3">
        <v>5</v>
      </c>
      <c r="H362">
        <v>30900</v>
      </c>
      <c r="I362">
        <v>154500</v>
      </c>
    </row>
    <row r="363" spans="1:9" x14ac:dyDescent="0.35">
      <c r="A363" t="s">
        <v>403</v>
      </c>
      <c r="B363" s="4">
        <v>46080</v>
      </c>
      <c r="C363" s="3" t="s">
        <v>34</v>
      </c>
      <c r="D363" s="3" t="s">
        <v>25</v>
      </c>
      <c r="E363" t="s">
        <v>12</v>
      </c>
      <c r="F363" t="s">
        <v>13</v>
      </c>
      <c r="G363" s="3">
        <v>7</v>
      </c>
      <c r="H363">
        <v>2200</v>
      </c>
      <c r="I363">
        <v>15400</v>
      </c>
    </row>
    <row r="364" spans="1:9" x14ac:dyDescent="0.35">
      <c r="A364" t="s">
        <v>404</v>
      </c>
      <c r="B364" s="4">
        <v>46150</v>
      </c>
      <c r="C364" s="3" t="s">
        <v>20</v>
      </c>
      <c r="D364" s="3" t="s">
        <v>36</v>
      </c>
      <c r="E364" t="s">
        <v>40</v>
      </c>
      <c r="F364" t="s">
        <v>13</v>
      </c>
      <c r="G364" s="3">
        <v>6</v>
      </c>
      <c r="H364">
        <v>6500</v>
      </c>
      <c r="I364">
        <v>39000</v>
      </c>
    </row>
    <row r="365" spans="1:9" x14ac:dyDescent="0.35">
      <c r="A365" t="s">
        <v>405</v>
      </c>
      <c r="B365" s="4">
        <v>46126</v>
      </c>
      <c r="C365" s="3" t="s">
        <v>20</v>
      </c>
      <c r="D365" s="3" t="s">
        <v>74</v>
      </c>
      <c r="E365" t="s">
        <v>40</v>
      </c>
      <c r="F365" t="s">
        <v>13</v>
      </c>
      <c r="G365" s="3">
        <v>3</v>
      </c>
      <c r="H365">
        <v>5600</v>
      </c>
      <c r="I365">
        <v>16800</v>
      </c>
    </row>
    <row r="366" spans="1:9" x14ac:dyDescent="0.35">
      <c r="A366" t="s">
        <v>406</v>
      </c>
      <c r="B366" s="4">
        <v>46167</v>
      </c>
      <c r="C366" s="3" t="s">
        <v>10</v>
      </c>
      <c r="D366" s="3" t="s">
        <v>36</v>
      </c>
      <c r="E366" t="s">
        <v>63</v>
      </c>
      <c r="F366" t="s">
        <v>55</v>
      </c>
      <c r="G366" s="3">
        <v>1</v>
      </c>
      <c r="H366">
        <v>26900</v>
      </c>
      <c r="I366">
        <v>26900</v>
      </c>
    </row>
    <row r="367" spans="1:9" x14ac:dyDescent="0.35">
      <c r="A367" t="s">
        <v>407</v>
      </c>
      <c r="B367" s="4">
        <v>46112</v>
      </c>
      <c r="C367" s="3" t="s">
        <v>20</v>
      </c>
      <c r="D367" s="3" t="s">
        <v>49</v>
      </c>
      <c r="E367" t="s">
        <v>40</v>
      </c>
      <c r="F367" t="s">
        <v>13</v>
      </c>
      <c r="G367" s="3">
        <v>7</v>
      </c>
      <c r="H367">
        <v>7300</v>
      </c>
      <c r="I367">
        <v>51100</v>
      </c>
    </row>
    <row r="368" spans="1:9" x14ac:dyDescent="0.35">
      <c r="A368" t="s">
        <v>408</v>
      </c>
      <c r="B368" s="4">
        <v>46129</v>
      </c>
      <c r="C368" s="3" t="s">
        <v>39</v>
      </c>
      <c r="D368" s="3" t="s">
        <v>74</v>
      </c>
      <c r="E368" t="s">
        <v>32</v>
      </c>
      <c r="F368" t="s">
        <v>13</v>
      </c>
      <c r="G368" s="3">
        <v>2</v>
      </c>
      <c r="H368">
        <v>4200</v>
      </c>
      <c r="I368">
        <v>8400</v>
      </c>
    </row>
    <row r="369" spans="1:9" x14ac:dyDescent="0.35">
      <c r="A369" t="s">
        <v>409</v>
      </c>
      <c r="B369" s="4">
        <v>46178</v>
      </c>
      <c r="C369" s="3" t="s">
        <v>51</v>
      </c>
      <c r="D369" s="3" t="s">
        <v>25</v>
      </c>
      <c r="E369" t="s">
        <v>61</v>
      </c>
      <c r="F369" t="s">
        <v>13</v>
      </c>
      <c r="G369" s="3">
        <v>3</v>
      </c>
      <c r="H369">
        <v>7400</v>
      </c>
      <c r="I369">
        <v>22200</v>
      </c>
    </row>
    <row r="370" spans="1:9" x14ac:dyDescent="0.35">
      <c r="A370" t="s">
        <v>410</v>
      </c>
      <c r="B370" s="4">
        <v>46160</v>
      </c>
      <c r="C370" s="3" t="s">
        <v>51</v>
      </c>
      <c r="D370" s="3" t="s">
        <v>36</v>
      </c>
      <c r="E370" t="s">
        <v>54</v>
      </c>
      <c r="F370" t="s">
        <v>55</v>
      </c>
      <c r="G370" s="3">
        <v>3</v>
      </c>
      <c r="H370">
        <v>21400</v>
      </c>
      <c r="I370">
        <v>64200</v>
      </c>
    </row>
    <row r="371" spans="1:9" x14ac:dyDescent="0.35">
      <c r="A371" t="s">
        <v>411</v>
      </c>
      <c r="B371" s="4">
        <v>46042</v>
      </c>
      <c r="C371" s="3" t="s">
        <v>46</v>
      </c>
      <c r="D371" s="3" t="s">
        <v>25</v>
      </c>
      <c r="E371" t="s">
        <v>21</v>
      </c>
      <c r="F371" t="s">
        <v>22</v>
      </c>
      <c r="G371" s="3">
        <v>2</v>
      </c>
      <c r="H371">
        <v>27700</v>
      </c>
      <c r="I371">
        <v>55400</v>
      </c>
    </row>
    <row r="372" spans="1:9" x14ac:dyDescent="0.35">
      <c r="A372" t="s">
        <v>412</v>
      </c>
      <c r="B372" s="4">
        <v>46060</v>
      </c>
      <c r="C372" s="3" t="s">
        <v>44</v>
      </c>
      <c r="D372" s="3" t="s">
        <v>36</v>
      </c>
      <c r="E372" t="s">
        <v>32</v>
      </c>
      <c r="F372" t="s">
        <v>13</v>
      </c>
      <c r="G372" s="3">
        <v>6</v>
      </c>
      <c r="H372">
        <v>5000</v>
      </c>
      <c r="I372">
        <v>30000</v>
      </c>
    </row>
    <row r="373" spans="1:9" x14ac:dyDescent="0.35">
      <c r="A373" t="s">
        <v>413</v>
      </c>
      <c r="B373" s="4">
        <v>46139</v>
      </c>
      <c r="C373" s="3" t="s">
        <v>10</v>
      </c>
      <c r="D373" s="3" t="s">
        <v>49</v>
      </c>
      <c r="E373" t="s">
        <v>17</v>
      </c>
      <c r="F373" t="s">
        <v>18</v>
      </c>
      <c r="G373" s="3">
        <v>5</v>
      </c>
      <c r="H373">
        <v>36500</v>
      </c>
      <c r="I373">
        <v>182500</v>
      </c>
    </row>
    <row r="374" spans="1:9" x14ac:dyDescent="0.35">
      <c r="A374" t="s">
        <v>414</v>
      </c>
      <c r="B374" s="4">
        <v>46192</v>
      </c>
      <c r="C374" s="3" t="s">
        <v>34</v>
      </c>
      <c r="D374" s="3" t="s">
        <v>25</v>
      </c>
      <c r="E374" t="s">
        <v>61</v>
      </c>
      <c r="F374" t="s">
        <v>13</v>
      </c>
      <c r="G374" s="3">
        <v>7</v>
      </c>
      <c r="H374">
        <v>7700</v>
      </c>
      <c r="I374">
        <v>53900</v>
      </c>
    </row>
    <row r="375" spans="1:9" x14ac:dyDescent="0.35">
      <c r="A375" t="s">
        <v>415</v>
      </c>
      <c r="B375" s="4">
        <v>46107</v>
      </c>
      <c r="C375" s="3" t="s">
        <v>24</v>
      </c>
      <c r="D375" s="3" t="s">
        <v>16</v>
      </c>
      <c r="E375" t="s">
        <v>12</v>
      </c>
      <c r="F375" t="s">
        <v>13</v>
      </c>
      <c r="G375" s="3">
        <v>3</v>
      </c>
      <c r="H375">
        <v>2500</v>
      </c>
      <c r="I375">
        <v>7500</v>
      </c>
    </row>
    <row r="376" spans="1:9" x14ac:dyDescent="0.35">
      <c r="A376" t="s">
        <v>416</v>
      </c>
      <c r="B376" s="4">
        <v>46042</v>
      </c>
      <c r="C376" s="3" t="s">
        <v>46</v>
      </c>
      <c r="D376" s="3" t="s">
        <v>36</v>
      </c>
      <c r="E376" t="s">
        <v>32</v>
      </c>
      <c r="F376" t="s">
        <v>13</v>
      </c>
      <c r="G376" s="3">
        <v>4</v>
      </c>
      <c r="H376">
        <v>4100</v>
      </c>
      <c r="I376">
        <v>16400</v>
      </c>
    </row>
    <row r="377" spans="1:9" x14ac:dyDescent="0.35">
      <c r="A377" t="s">
        <v>417</v>
      </c>
      <c r="B377" s="4">
        <v>46124</v>
      </c>
      <c r="C377" s="3" t="s">
        <v>34</v>
      </c>
      <c r="D377" s="3" t="s">
        <v>36</v>
      </c>
      <c r="E377" t="s">
        <v>40</v>
      </c>
      <c r="F377" t="s">
        <v>13</v>
      </c>
      <c r="G377" s="3">
        <v>6</v>
      </c>
      <c r="H377">
        <v>6700</v>
      </c>
      <c r="I377">
        <v>40200</v>
      </c>
    </row>
    <row r="378" spans="1:9" x14ac:dyDescent="0.35">
      <c r="A378" t="s">
        <v>418</v>
      </c>
      <c r="B378" s="4">
        <v>46160</v>
      </c>
      <c r="C378" s="3" t="s">
        <v>29</v>
      </c>
      <c r="D378" s="3" t="s">
        <v>16</v>
      </c>
      <c r="E378" t="s">
        <v>40</v>
      </c>
      <c r="F378" t="s">
        <v>13</v>
      </c>
      <c r="G378" s="3">
        <v>1</v>
      </c>
      <c r="H378">
        <v>6900</v>
      </c>
      <c r="I378">
        <v>6900</v>
      </c>
    </row>
    <row r="379" spans="1:9" x14ac:dyDescent="0.35">
      <c r="A379" t="s">
        <v>419</v>
      </c>
      <c r="B379" s="4">
        <v>46061</v>
      </c>
      <c r="C379" s="3" t="s">
        <v>46</v>
      </c>
      <c r="D379" s="3" t="s">
        <v>74</v>
      </c>
      <c r="E379" t="s">
        <v>26</v>
      </c>
      <c r="F379" t="s">
        <v>18</v>
      </c>
      <c r="G379" s="3">
        <v>7</v>
      </c>
      <c r="H379">
        <v>75100</v>
      </c>
      <c r="I379">
        <v>525700</v>
      </c>
    </row>
    <row r="380" spans="1:9" x14ac:dyDescent="0.35">
      <c r="A380" t="s">
        <v>420</v>
      </c>
      <c r="B380" s="4">
        <v>46091</v>
      </c>
      <c r="C380" s="3" t="s">
        <v>15</v>
      </c>
      <c r="D380" s="3" t="s">
        <v>36</v>
      </c>
      <c r="E380" t="s">
        <v>61</v>
      </c>
      <c r="F380" t="s">
        <v>13</v>
      </c>
      <c r="G380" s="3">
        <v>8</v>
      </c>
      <c r="H380">
        <v>7400</v>
      </c>
      <c r="I380">
        <v>59200</v>
      </c>
    </row>
    <row r="381" spans="1:9" x14ac:dyDescent="0.35">
      <c r="A381" t="s">
        <v>421</v>
      </c>
      <c r="B381" s="4">
        <v>46103</v>
      </c>
      <c r="C381" s="3" t="s">
        <v>51</v>
      </c>
      <c r="D381" s="3" t="s">
        <v>74</v>
      </c>
      <c r="E381" t="s">
        <v>63</v>
      </c>
      <c r="F381" t="s">
        <v>55</v>
      </c>
      <c r="G381" s="3">
        <v>7</v>
      </c>
      <c r="H381">
        <v>28600</v>
      </c>
      <c r="I381">
        <v>200200</v>
      </c>
    </row>
    <row r="382" spans="1:9" x14ac:dyDescent="0.35">
      <c r="A382" t="s">
        <v>422</v>
      </c>
      <c r="B382" s="4">
        <v>46156</v>
      </c>
      <c r="C382" s="3" t="s">
        <v>10</v>
      </c>
      <c r="D382" s="3" t="s">
        <v>74</v>
      </c>
      <c r="E382" t="s">
        <v>12</v>
      </c>
      <c r="F382" t="s">
        <v>13</v>
      </c>
      <c r="G382" s="3">
        <v>4</v>
      </c>
      <c r="H382">
        <v>2300</v>
      </c>
      <c r="I382">
        <v>9200</v>
      </c>
    </row>
    <row r="383" spans="1:9" x14ac:dyDescent="0.35">
      <c r="A383" t="s">
        <v>423</v>
      </c>
      <c r="B383" s="4">
        <v>46189</v>
      </c>
      <c r="C383" s="3" t="s">
        <v>51</v>
      </c>
      <c r="D383" s="3" t="s">
        <v>25</v>
      </c>
      <c r="E383" t="s">
        <v>26</v>
      </c>
      <c r="F383" t="s">
        <v>18</v>
      </c>
      <c r="G383" s="3">
        <v>5</v>
      </c>
      <c r="H383">
        <v>94400</v>
      </c>
      <c r="I383">
        <v>472000</v>
      </c>
    </row>
    <row r="384" spans="1:9" x14ac:dyDescent="0.35">
      <c r="A384" t="s">
        <v>424</v>
      </c>
      <c r="B384" s="4">
        <v>46196</v>
      </c>
      <c r="C384" s="3" t="s">
        <v>15</v>
      </c>
      <c r="D384" s="3" t="s">
        <v>16</v>
      </c>
      <c r="E384" t="s">
        <v>37</v>
      </c>
      <c r="F384" t="s">
        <v>18</v>
      </c>
      <c r="G384" s="3">
        <v>2</v>
      </c>
      <c r="H384">
        <v>51400</v>
      </c>
      <c r="I384">
        <v>102800</v>
      </c>
    </row>
    <row r="385" spans="1:9" x14ac:dyDescent="0.35">
      <c r="A385" t="s">
        <v>425</v>
      </c>
      <c r="B385" s="4">
        <v>46065</v>
      </c>
      <c r="C385" s="3" t="s">
        <v>10</v>
      </c>
      <c r="D385" s="3" t="s">
        <v>74</v>
      </c>
      <c r="E385" t="s">
        <v>40</v>
      </c>
      <c r="F385" t="s">
        <v>13</v>
      </c>
      <c r="G385" s="3">
        <v>3</v>
      </c>
      <c r="H385">
        <v>5700</v>
      </c>
      <c r="I385">
        <v>17100</v>
      </c>
    </row>
    <row r="386" spans="1:9" x14ac:dyDescent="0.35">
      <c r="A386" t="s">
        <v>426</v>
      </c>
      <c r="B386" s="4">
        <v>46033</v>
      </c>
      <c r="C386" s="3" t="s">
        <v>65</v>
      </c>
      <c r="D386" s="3" t="s">
        <v>16</v>
      </c>
      <c r="E386" t="s">
        <v>32</v>
      </c>
      <c r="F386" t="s">
        <v>13</v>
      </c>
      <c r="G386" s="3">
        <v>8</v>
      </c>
      <c r="H386">
        <v>5100</v>
      </c>
      <c r="I386">
        <v>40800</v>
      </c>
    </row>
    <row r="387" spans="1:9" x14ac:dyDescent="0.35">
      <c r="A387" t="s">
        <v>427</v>
      </c>
      <c r="B387" s="4">
        <v>46168</v>
      </c>
      <c r="C387" s="3" t="s">
        <v>15</v>
      </c>
      <c r="D387" s="3" t="s">
        <v>36</v>
      </c>
      <c r="E387" t="s">
        <v>21</v>
      </c>
      <c r="F387" t="s">
        <v>22</v>
      </c>
      <c r="G387" s="3">
        <v>5</v>
      </c>
      <c r="H387">
        <v>29900</v>
      </c>
      <c r="I387">
        <v>149500</v>
      </c>
    </row>
    <row r="388" spans="1:9" x14ac:dyDescent="0.35">
      <c r="A388" t="s">
        <v>428</v>
      </c>
      <c r="B388" s="4">
        <v>46081</v>
      </c>
      <c r="C388" s="3" t="s">
        <v>51</v>
      </c>
      <c r="D388" s="3" t="s">
        <v>49</v>
      </c>
      <c r="E388" t="s">
        <v>54</v>
      </c>
      <c r="F388" t="s">
        <v>55</v>
      </c>
      <c r="G388" s="3">
        <v>4</v>
      </c>
      <c r="H388">
        <v>21500</v>
      </c>
      <c r="I388">
        <v>86000</v>
      </c>
    </row>
    <row r="389" spans="1:9" x14ac:dyDescent="0.35">
      <c r="A389" t="s">
        <v>429</v>
      </c>
      <c r="B389" s="4">
        <v>46200</v>
      </c>
      <c r="C389" s="3" t="s">
        <v>51</v>
      </c>
      <c r="D389" s="3" t="s">
        <v>74</v>
      </c>
      <c r="E389" t="s">
        <v>61</v>
      </c>
      <c r="F389" t="s">
        <v>13</v>
      </c>
      <c r="G389" s="3">
        <v>7</v>
      </c>
      <c r="H389">
        <v>8100</v>
      </c>
      <c r="I389">
        <v>56700</v>
      </c>
    </row>
    <row r="390" spans="1:9" x14ac:dyDescent="0.35">
      <c r="A390" t="s">
        <v>430</v>
      </c>
      <c r="B390" s="4">
        <v>46109</v>
      </c>
      <c r="C390" s="3" t="s">
        <v>24</v>
      </c>
      <c r="D390" s="3" t="s">
        <v>74</v>
      </c>
      <c r="E390" t="s">
        <v>17</v>
      </c>
      <c r="F390" t="s">
        <v>18</v>
      </c>
      <c r="G390" s="3">
        <v>4</v>
      </c>
      <c r="H390">
        <v>35100</v>
      </c>
      <c r="I390">
        <v>140400</v>
      </c>
    </row>
    <row r="391" spans="1:9" x14ac:dyDescent="0.35">
      <c r="A391" t="s">
        <v>431</v>
      </c>
      <c r="B391" s="4">
        <v>46026</v>
      </c>
      <c r="C391" s="3" t="s">
        <v>15</v>
      </c>
      <c r="D391" s="3" t="s">
        <v>49</v>
      </c>
      <c r="E391" t="s">
        <v>32</v>
      </c>
      <c r="F391" t="s">
        <v>13</v>
      </c>
      <c r="G391" s="3">
        <v>8</v>
      </c>
      <c r="H391">
        <v>4000</v>
      </c>
      <c r="I391">
        <v>32000</v>
      </c>
    </row>
    <row r="392" spans="1:9" x14ac:dyDescent="0.35">
      <c r="A392" t="s">
        <v>432</v>
      </c>
      <c r="B392" s="4">
        <v>46100</v>
      </c>
      <c r="C392" s="3" t="s">
        <v>20</v>
      </c>
      <c r="D392" s="3" t="s">
        <v>11</v>
      </c>
      <c r="E392" t="s">
        <v>21</v>
      </c>
      <c r="F392" t="s">
        <v>22</v>
      </c>
      <c r="G392" s="3">
        <v>7</v>
      </c>
      <c r="H392">
        <v>31900</v>
      </c>
      <c r="I392">
        <v>223300</v>
      </c>
    </row>
    <row r="393" spans="1:9" x14ac:dyDescent="0.35">
      <c r="A393" t="s">
        <v>433</v>
      </c>
      <c r="B393" s="4">
        <v>46159</v>
      </c>
      <c r="C393" s="3" t="s">
        <v>15</v>
      </c>
      <c r="D393" s="3" t="s">
        <v>16</v>
      </c>
      <c r="E393" t="s">
        <v>37</v>
      </c>
      <c r="F393" t="s">
        <v>18</v>
      </c>
      <c r="G393" s="3">
        <v>6</v>
      </c>
      <c r="H393">
        <v>57600</v>
      </c>
      <c r="I393">
        <v>345600</v>
      </c>
    </row>
    <row r="394" spans="1:9" x14ac:dyDescent="0.35">
      <c r="A394" t="s">
        <v>434</v>
      </c>
      <c r="B394" s="4">
        <v>46169</v>
      </c>
      <c r="C394" s="3" t="s">
        <v>39</v>
      </c>
      <c r="D394" s="3" t="s">
        <v>74</v>
      </c>
      <c r="E394" t="s">
        <v>61</v>
      </c>
      <c r="F394" t="s">
        <v>13</v>
      </c>
      <c r="G394" s="3">
        <v>2</v>
      </c>
      <c r="H394">
        <v>7400</v>
      </c>
      <c r="I394">
        <v>14800</v>
      </c>
    </row>
    <row r="395" spans="1:9" x14ac:dyDescent="0.35">
      <c r="A395" t="s">
        <v>435</v>
      </c>
      <c r="B395" s="4">
        <v>46083</v>
      </c>
      <c r="C395" s="3" t="s">
        <v>46</v>
      </c>
      <c r="D395" s="3" t="s">
        <v>16</v>
      </c>
      <c r="E395" t="s">
        <v>54</v>
      </c>
      <c r="F395" t="s">
        <v>55</v>
      </c>
      <c r="G395" s="3">
        <v>1</v>
      </c>
      <c r="H395">
        <v>25100</v>
      </c>
      <c r="I395">
        <v>25100</v>
      </c>
    </row>
    <row r="396" spans="1:9" x14ac:dyDescent="0.35">
      <c r="A396" t="s">
        <v>436</v>
      </c>
      <c r="B396" s="4">
        <v>46023</v>
      </c>
      <c r="C396" s="3" t="s">
        <v>44</v>
      </c>
      <c r="D396" s="3" t="s">
        <v>74</v>
      </c>
      <c r="E396" t="s">
        <v>40</v>
      </c>
      <c r="F396" t="s">
        <v>13</v>
      </c>
      <c r="G396" s="3">
        <v>3</v>
      </c>
      <c r="H396">
        <v>5900</v>
      </c>
      <c r="I396">
        <v>17700</v>
      </c>
    </row>
    <row r="397" spans="1:9" x14ac:dyDescent="0.35">
      <c r="A397" t="s">
        <v>437</v>
      </c>
      <c r="B397" s="4">
        <v>46167</v>
      </c>
      <c r="C397" s="3" t="s">
        <v>65</v>
      </c>
      <c r="D397" s="3" t="s">
        <v>16</v>
      </c>
      <c r="E397" t="s">
        <v>32</v>
      </c>
      <c r="F397" t="s">
        <v>13</v>
      </c>
      <c r="G397" s="3">
        <v>8</v>
      </c>
      <c r="H397">
        <v>4700</v>
      </c>
      <c r="I397">
        <v>37600</v>
      </c>
    </row>
    <row r="398" spans="1:9" x14ac:dyDescent="0.35">
      <c r="A398" t="s">
        <v>438</v>
      </c>
      <c r="B398" s="4">
        <v>46093</v>
      </c>
      <c r="C398" s="3" t="s">
        <v>10</v>
      </c>
      <c r="D398" s="3" t="s">
        <v>16</v>
      </c>
      <c r="E398" t="s">
        <v>21</v>
      </c>
      <c r="F398" t="s">
        <v>22</v>
      </c>
      <c r="G398" s="3">
        <v>4</v>
      </c>
      <c r="H398">
        <v>31400</v>
      </c>
      <c r="I398">
        <v>125600</v>
      </c>
    </row>
    <row r="399" spans="1:9" x14ac:dyDescent="0.35">
      <c r="A399" t="s">
        <v>439</v>
      </c>
      <c r="B399" s="4">
        <v>46050</v>
      </c>
      <c r="C399" s="3" t="s">
        <v>44</v>
      </c>
      <c r="D399" s="3" t="s">
        <v>74</v>
      </c>
      <c r="E399" t="s">
        <v>17</v>
      </c>
      <c r="F399" t="s">
        <v>18</v>
      </c>
      <c r="G399" s="3">
        <v>3</v>
      </c>
      <c r="H399">
        <v>32500</v>
      </c>
      <c r="I399">
        <v>97500</v>
      </c>
    </row>
    <row r="400" spans="1:9" x14ac:dyDescent="0.35">
      <c r="A400" t="s">
        <v>440</v>
      </c>
      <c r="B400" s="4">
        <v>46202</v>
      </c>
      <c r="C400" s="3" t="s">
        <v>65</v>
      </c>
      <c r="D400" s="3" t="s">
        <v>16</v>
      </c>
      <c r="E400" t="s">
        <v>26</v>
      </c>
      <c r="F400" t="s">
        <v>18</v>
      </c>
      <c r="G400" s="3">
        <v>7</v>
      </c>
      <c r="H400">
        <v>88200</v>
      </c>
      <c r="I400">
        <v>617400</v>
      </c>
    </row>
    <row r="401" spans="1:9" x14ac:dyDescent="0.35">
      <c r="A401" t="s">
        <v>441</v>
      </c>
      <c r="B401" s="4">
        <v>46125</v>
      </c>
      <c r="C401" s="3" t="s">
        <v>10</v>
      </c>
      <c r="D401" s="3" t="s">
        <v>16</v>
      </c>
      <c r="E401" t="s">
        <v>37</v>
      </c>
      <c r="F401" t="s">
        <v>18</v>
      </c>
      <c r="G401" s="3">
        <v>6</v>
      </c>
      <c r="H401">
        <v>52800</v>
      </c>
      <c r="I401">
        <v>316800</v>
      </c>
    </row>
    <row r="402" spans="1:9" x14ac:dyDescent="0.35">
      <c r="A402" t="s">
        <v>442</v>
      </c>
      <c r="B402" s="4">
        <v>46048</v>
      </c>
      <c r="C402" s="3" t="s">
        <v>31</v>
      </c>
      <c r="D402" s="3" t="s">
        <v>74</v>
      </c>
      <c r="E402" t="s">
        <v>12</v>
      </c>
      <c r="F402" t="s">
        <v>13</v>
      </c>
      <c r="G402" s="3">
        <v>2</v>
      </c>
      <c r="H402">
        <v>2500</v>
      </c>
      <c r="I402">
        <v>5000</v>
      </c>
    </row>
    <row r="403" spans="1:9" x14ac:dyDescent="0.35">
      <c r="A403" t="s">
        <v>443</v>
      </c>
      <c r="B403" s="4">
        <v>46161</v>
      </c>
      <c r="C403" s="3" t="s">
        <v>31</v>
      </c>
      <c r="D403" s="3" t="s">
        <v>74</v>
      </c>
      <c r="E403" t="s">
        <v>54</v>
      </c>
      <c r="F403" t="s">
        <v>55</v>
      </c>
      <c r="G403" s="3">
        <v>7</v>
      </c>
      <c r="H403">
        <v>21900</v>
      </c>
      <c r="I403">
        <v>153300</v>
      </c>
    </row>
    <row r="404" spans="1:9" x14ac:dyDescent="0.35">
      <c r="A404" t="s">
        <v>444</v>
      </c>
      <c r="B404" s="4">
        <v>46064</v>
      </c>
      <c r="C404" s="3" t="s">
        <v>24</v>
      </c>
      <c r="D404" s="3" t="s">
        <v>74</v>
      </c>
      <c r="E404" t="s">
        <v>63</v>
      </c>
      <c r="F404" t="s">
        <v>55</v>
      </c>
      <c r="G404" s="3">
        <v>4</v>
      </c>
      <c r="H404">
        <v>26900</v>
      </c>
      <c r="I404">
        <v>107600</v>
      </c>
    </row>
    <row r="405" spans="1:9" x14ac:dyDescent="0.35">
      <c r="A405" t="s">
        <v>445</v>
      </c>
      <c r="B405" s="4">
        <v>46118</v>
      </c>
      <c r="C405" s="3" t="s">
        <v>31</v>
      </c>
      <c r="D405" s="3" t="s">
        <v>49</v>
      </c>
      <c r="E405" t="s">
        <v>26</v>
      </c>
      <c r="F405" t="s">
        <v>18</v>
      </c>
      <c r="G405" s="3">
        <v>8</v>
      </c>
      <c r="H405">
        <v>95700</v>
      </c>
      <c r="I405">
        <v>765600</v>
      </c>
    </row>
    <row r="406" spans="1:9" x14ac:dyDescent="0.35">
      <c r="A406" t="s">
        <v>446</v>
      </c>
      <c r="B406" s="4">
        <v>46124</v>
      </c>
      <c r="C406" s="3" t="s">
        <v>29</v>
      </c>
      <c r="D406" s="3" t="s">
        <v>49</v>
      </c>
      <c r="E406" t="s">
        <v>63</v>
      </c>
      <c r="F406" t="s">
        <v>55</v>
      </c>
      <c r="G406" s="3">
        <v>3</v>
      </c>
      <c r="H406">
        <v>32300</v>
      </c>
      <c r="I406">
        <v>96900</v>
      </c>
    </row>
    <row r="407" spans="1:9" x14ac:dyDescent="0.35">
      <c r="A407" t="s">
        <v>447</v>
      </c>
      <c r="B407" s="4">
        <v>46131</v>
      </c>
      <c r="C407" s="3" t="s">
        <v>44</v>
      </c>
      <c r="D407" s="3" t="s">
        <v>25</v>
      </c>
      <c r="E407" t="s">
        <v>21</v>
      </c>
      <c r="F407" t="s">
        <v>22</v>
      </c>
      <c r="G407" s="3">
        <v>2</v>
      </c>
      <c r="H407">
        <v>32100</v>
      </c>
      <c r="I407">
        <v>64200</v>
      </c>
    </row>
    <row r="408" spans="1:9" x14ac:dyDescent="0.35">
      <c r="A408" t="s">
        <v>448</v>
      </c>
      <c r="B408" s="4">
        <v>46041</v>
      </c>
      <c r="C408" s="3" t="s">
        <v>31</v>
      </c>
      <c r="D408" s="3" t="s">
        <v>49</v>
      </c>
      <c r="E408" t="s">
        <v>63</v>
      </c>
      <c r="F408" t="s">
        <v>55</v>
      </c>
      <c r="G408" s="3">
        <v>4</v>
      </c>
      <c r="H408">
        <v>27000</v>
      </c>
      <c r="I408">
        <v>108000</v>
      </c>
    </row>
    <row r="409" spans="1:9" x14ac:dyDescent="0.35">
      <c r="A409" t="s">
        <v>449</v>
      </c>
      <c r="B409" s="4">
        <v>46048</v>
      </c>
      <c r="C409" s="3" t="s">
        <v>34</v>
      </c>
      <c r="D409" s="3" t="s">
        <v>74</v>
      </c>
      <c r="E409" t="s">
        <v>26</v>
      </c>
      <c r="F409" t="s">
        <v>18</v>
      </c>
      <c r="G409" s="3">
        <v>5</v>
      </c>
      <c r="H409">
        <v>83000</v>
      </c>
      <c r="I409">
        <v>415000</v>
      </c>
    </row>
    <row r="410" spans="1:9" x14ac:dyDescent="0.35">
      <c r="A410" t="s">
        <v>450</v>
      </c>
      <c r="B410" s="4">
        <v>46160</v>
      </c>
      <c r="C410" s="3" t="s">
        <v>51</v>
      </c>
      <c r="D410" s="3" t="s">
        <v>25</v>
      </c>
      <c r="E410" t="s">
        <v>21</v>
      </c>
      <c r="F410" t="s">
        <v>22</v>
      </c>
      <c r="G410" s="3">
        <v>2</v>
      </c>
      <c r="H410">
        <v>29300</v>
      </c>
      <c r="I410">
        <v>58600</v>
      </c>
    </row>
    <row r="411" spans="1:9" x14ac:dyDescent="0.35">
      <c r="A411" t="s">
        <v>451</v>
      </c>
      <c r="B411" s="4">
        <v>46121</v>
      </c>
      <c r="C411" s="3" t="s">
        <v>15</v>
      </c>
      <c r="D411" s="3" t="s">
        <v>16</v>
      </c>
      <c r="E411" t="s">
        <v>32</v>
      </c>
      <c r="F411" t="s">
        <v>13</v>
      </c>
      <c r="G411" s="3">
        <v>2</v>
      </c>
      <c r="H411">
        <v>3900</v>
      </c>
      <c r="I411">
        <v>7800</v>
      </c>
    </row>
    <row r="412" spans="1:9" x14ac:dyDescent="0.35">
      <c r="A412" t="s">
        <v>452</v>
      </c>
      <c r="B412" s="4">
        <v>46041</v>
      </c>
      <c r="C412" s="3" t="s">
        <v>31</v>
      </c>
      <c r="D412" s="3" t="s">
        <v>16</v>
      </c>
      <c r="E412" t="s">
        <v>40</v>
      </c>
      <c r="F412" t="s">
        <v>13</v>
      </c>
      <c r="G412" s="3">
        <v>8</v>
      </c>
      <c r="H412">
        <v>6100</v>
      </c>
      <c r="I412">
        <v>48800</v>
      </c>
    </row>
    <row r="413" spans="1:9" x14ac:dyDescent="0.35">
      <c r="A413" t="s">
        <v>453</v>
      </c>
      <c r="B413" s="4">
        <v>46156</v>
      </c>
      <c r="C413" s="3" t="s">
        <v>15</v>
      </c>
      <c r="D413" s="3" t="s">
        <v>16</v>
      </c>
      <c r="E413" t="s">
        <v>12</v>
      </c>
      <c r="F413" t="s">
        <v>13</v>
      </c>
      <c r="G413" s="3">
        <v>8</v>
      </c>
      <c r="H413">
        <v>2400</v>
      </c>
      <c r="I413">
        <v>19200</v>
      </c>
    </row>
    <row r="414" spans="1:9" x14ac:dyDescent="0.35">
      <c r="A414" t="s">
        <v>454</v>
      </c>
      <c r="B414" s="4">
        <v>46119</v>
      </c>
      <c r="C414" s="3" t="s">
        <v>29</v>
      </c>
      <c r="D414" s="3" t="s">
        <v>16</v>
      </c>
      <c r="E414" t="s">
        <v>61</v>
      </c>
      <c r="F414" t="s">
        <v>13</v>
      </c>
      <c r="G414" s="3">
        <v>7</v>
      </c>
      <c r="H414">
        <v>7600</v>
      </c>
      <c r="I414">
        <v>53200</v>
      </c>
    </row>
    <row r="415" spans="1:9" x14ac:dyDescent="0.35">
      <c r="A415" t="s">
        <v>455</v>
      </c>
      <c r="B415" s="4">
        <v>46147</v>
      </c>
      <c r="C415" s="3" t="s">
        <v>44</v>
      </c>
      <c r="D415" s="3" t="s">
        <v>16</v>
      </c>
      <c r="E415" t="s">
        <v>32</v>
      </c>
      <c r="F415" t="s">
        <v>13</v>
      </c>
      <c r="G415" s="3">
        <v>5</v>
      </c>
      <c r="H415">
        <v>5000</v>
      </c>
      <c r="I415">
        <v>25000</v>
      </c>
    </row>
    <row r="416" spans="1:9" x14ac:dyDescent="0.35">
      <c r="A416" t="s">
        <v>456</v>
      </c>
      <c r="B416" s="4">
        <v>46111</v>
      </c>
      <c r="C416" s="3" t="s">
        <v>24</v>
      </c>
      <c r="D416" s="3" t="s">
        <v>16</v>
      </c>
      <c r="E416" t="s">
        <v>32</v>
      </c>
      <c r="F416" t="s">
        <v>13</v>
      </c>
      <c r="G416" s="3">
        <v>2</v>
      </c>
      <c r="H416">
        <v>3900</v>
      </c>
      <c r="I416">
        <v>7800</v>
      </c>
    </row>
    <row r="417" spans="1:9" x14ac:dyDescent="0.35">
      <c r="A417" t="s">
        <v>457</v>
      </c>
      <c r="B417" s="4">
        <v>46172</v>
      </c>
      <c r="C417" s="3" t="s">
        <v>34</v>
      </c>
      <c r="D417" s="3" t="s">
        <v>25</v>
      </c>
      <c r="E417" t="s">
        <v>63</v>
      </c>
      <c r="F417" t="s">
        <v>55</v>
      </c>
      <c r="G417" s="3">
        <v>3</v>
      </c>
      <c r="H417">
        <v>28500</v>
      </c>
      <c r="I417">
        <v>85500</v>
      </c>
    </row>
    <row r="418" spans="1:9" x14ac:dyDescent="0.35">
      <c r="A418" t="s">
        <v>458</v>
      </c>
      <c r="B418" s="4">
        <v>46173</v>
      </c>
      <c r="C418" s="3" t="s">
        <v>44</v>
      </c>
      <c r="D418" s="3" t="s">
        <v>16</v>
      </c>
      <c r="E418" t="s">
        <v>17</v>
      </c>
      <c r="F418" t="s">
        <v>18</v>
      </c>
      <c r="G418" s="3">
        <v>3</v>
      </c>
      <c r="H418">
        <v>37700</v>
      </c>
      <c r="I418">
        <v>113100</v>
      </c>
    </row>
    <row r="419" spans="1:9" x14ac:dyDescent="0.35">
      <c r="A419" t="s">
        <v>459</v>
      </c>
      <c r="B419" s="4">
        <v>46051</v>
      </c>
      <c r="C419" s="3" t="s">
        <v>51</v>
      </c>
      <c r="D419" s="3" t="s">
        <v>16</v>
      </c>
      <c r="E419" t="s">
        <v>32</v>
      </c>
      <c r="F419" t="s">
        <v>13</v>
      </c>
      <c r="G419" s="3">
        <v>8</v>
      </c>
      <c r="H419">
        <v>5100</v>
      </c>
      <c r="I419">
        <v>40800</v>
      </c>
    </row>
    <row r="420" spans="1:9" x14ac:dyDescent="0.35">
      <c r="A420" t="s">
        <v>460</v>
      </c>
      <c r="B420" s="4">
        <v>46145</v>
      </c>
      <c r="C420" s="3" t="s">
        <v>51</v>
      </c>
      <c r="D420" s="3" t="s">
        <v>36</v>
      </c>
      <c r="E420" t="s">
        <v>37</v>
      </c>
      <c r="F420" t="s">
        <v>18</v>
      </c>
      <c r="G420" s="3">
        <v>7</v>
      </c>
      <c r="H420">
        <v>53400</v>
      </c>
      <c r="I420">
        <v>373800</v>
      </c>
    </row>
    <row r="421" spans="1:9" x14ac:dyDescent="0.35">
      <c r="A421" t="s">
        <v>461</v>
      </c>
      <c r="B421" s="4">
        <v>46153</v>
      </c>
      <c r="C421" s="3" t="s">
        <v>24</v>
      </c>
      <c r="D421" s="3" t="s">
        <v>74</v>
      </c>
      <c r="E421" t="s">
        <v>26</v>
      </c>
      <c r="F421" t="s">
        <v>18</v>
      </c>
      <c r="G421" s="3">
        <v>5</v>
      </c>
      <c r="H421">
        <v>95700</v>
      </c>
      <c r="I421">
        <v>478500</v>
      </c>
    </row>
    <row r="422" spans="1:9" x14ac:dyDescent="0.35">
      <c r="A422" t="s">
        <v>462</v>
      </c>
      <c r="B422" s="4">
        <v>46185</v>
      </c>
      <c r="C422" s="3" t="s">
        <v>29</v>
      </c>
      <c r="D422" s="3" t="s">
        <v>16</v>
      </c>
      <c r="E422" t="s">
        <v>37</v>
      </c>
      <c r="F422" t="s">
        <v>18</v>
      </c>
      <c r="G422" s="3">
        <v>7</v>
      </c>
      <c r="H422">
        <v>54200</v>
      </c>
      <c r="I422">
        <v>379400</v>
      </c>
    </row>
    <row r="423" spans="1:9" x14ac:dyDescent="0.35">
      <c r="A423" t="s">
        <v>463</v>
      </c>
      <c r="B423" s="4">
        <v>46122</v>
      </c>
      <c r="C423" s="3" t="s">
        <v>34</v>
      </c>
      <c r="D423" s="3" t="s">
        <v>74</v>
      </c>
      <c r="E423" t="s">
        <v>32</v>
      </c>
      <c r="F423" t="s">
        <v>13</v>
      </c>
      <c r="G423" s="3">
        <v>4</v>
      </c>
      <c r="H423">
        <v>4600</v>
      </c>
      <c r="I423">
        <v>18400</v>
      </c>
    </row>
    <row r="424" spans="1:9" x14ac:dyDescent="0.35">
      <c r="A424" t="s">
        <v>464</v>
      </c>
      <c r="B424" s="4">
        <v>46035</v>
      </c>
      <c r="C424" s="3" t="s">
        <v>29</v>
      </c>
      <c r="D424" s="3" t="s">
        <v>25</v>
      </c>
      <c r="E424" t="s">
        <v>32</v>
      </c>
      <c r="F424" t="s">
        <v>13</v>
      </c>
      <c r="G424" s="3">
        <v>8</v>
      </c>
      <c r="H424">
        <v>3900</v>
      </c>
      <c r="I424">
        <v>31200</v>
      </c>
    </row>
    <row r="425" spans="1:9" x14ac:dyDescent="0.35">
      <c r="A425" t="s">
        <v>465</v>
      </c>
      <c r="B425" s="4">
        <v>46143</v>
      </c>
      <c r="C425" s="3" t="s">
        <v>20</v>
      </c>
      <c r="D425" s="3" t="s">
        <v>25</v>
      </c>
      <c r="E425" t="s">
        <v>26</v>
      </c>
      <c r="F425" t="s">
        <v>18</v>
      </c>
      <c r="G425" s="3">
        <v>3</v>
      </c>
      <c r="H425">
        <v>85100</v>
      </c>
      <c r="I425">
        <v>255300</v>
      </c>
    </row>
    <row r="426" spans="1:9" x14ac:dyDescent="0.35">
      <c r="A426" t="s">
        <v>466</v>
      </c>
      <c r="B426" s="4">
        <v>46044</v>
      </c>
      <c r="C426" s="3" t="s">
        <v>29</v>
      </c>
      <c r="D426" s="3" t="s">
        <v>11</v>
      </c>
      <c r="E426" t="s">
        <v>40</v>
      </c>
      <c r="F426" t="s">
        <v>13</v>
      </c>
      <c r="G426" s="3">
        <v>7</v>
      </c>
      <c r="H426">
        <v>7300</v>
      </c>
      <c r="I426">
        <v>51100</v>
      </c>
    </row>
    <row r="427" spans="1:9" x14ac:dyDescent="0.35">
      <c r="A427" t="s">
        <v>467</v>
      </c>
      <c r="B427" s="4">
        <v>46101</v>
      </c>
      <c r="C427" s="3" t="s">
        <v>29</v>
      </c>
      <c r="D427" s="3" t="s">
        <v>25</v>
      </c>
      <c r="E427" t="s">
        <v>26</v>
      </c>
      <c r="F427" t="s">
        <v>18</v>
      </c>
      <c r="G427" s="3">
        <v>7</v>
      </c>
      <c r="H427">
        <v>93900</v>
      </c>
      <c r="I427">
        <v>657300</v>
      </c>
    </row>
    <row r="428" spans="1:9" x14ac:dyDescent="0.35">
      <c r="A428" t="s">
        <v>468</v>
      </c>
      <c r="B428" s="4">
        <v>46060</v>
      </c>
      <c r="C428" s="3" t="s">
        <v>10</v>
      </c>
      <c r="D428" s="3" t="s">
        <v>36</v>
      </c>
      <c r="E428" t="s">
        <v>37</v>
      </c>
      <c r="F428" t="s">
        <v>18</v>
      </c>
      <c r="G428" s="3">
        <v>6</v>
      </c>
      <c r="H428">
        <v>62500</v>
      </c>
      <c r="I428">
        <v>375000</v>
      </c>
    </row>
    <row r="429" spans="1:9" x14ac:dyDescent="0.35">
      <c r="A429" t="s">
        <v>469</v>
      </c>
      <c r="B429" s="4">
        <v>46192</v>
      </c>
      <c r="C429" s="3" t="s">
        <v>34</v>
      </c>
      <c r="D429" s="3" t="s">
        <v>36</v>
      </c>
      <c r="E429" t="s">
        <v>32</v>
      </c>
      <c r="F429" t="s">
        <v>13</v>
      </c>
      <c r="G429" s="3">
        <v>2</v>
      </c>
      <c r="H429">
        <v>4200</v>
      </c>
      <c r="I429">
        <v>8400</v>
      </c>
    </row>
    <row r="430" spans="1:9" x14ac:dyDescent="0.35">
      <c r="A430" t="s">
        <v>471</v>
      </c>
      <c r="B430" s="4">
        <v>46199</v>
      </c>
      <c r="C430" s="3" t="s">
        <v>46</v>
      </c>
      <c r="D430" s="3" t="s">
        <v>74</v>
      </c>
      <c r="E430" t="s">
        <v>54</v>
      </c>
      <c r="F430" t="s">
        <v>55</v>
      </c>
      <c r="G430" s="3">
        <v>1</v>
      </c>
      <c r="H430">
        <v>19400</v>
      </c>
      <c r="I430">
        <v>19400</v>
      </c>
    </row>
    <row r="431" spans="1:9" x14ac:dyDescent="0.35">
      <c r="A431" t="s">
        <v>472</v>
      </c>
      <c r="B431" s="4">
        <v>46157</v>
      </c>
      <c r="C431" s="3" t="s">
        <v>46</v>
      </c>
      <c r="D431" s="3" t="s">
        <v>25</v>
      </c>
      <c r="E431" t="s">
        <v>32</v>
      </c>
      <c r="F431" t="s">
        <v>13</v>
      </c>
      <c r="G431" s="3">
        <v>2</v>
      </c>
      <c r="H431">
        <v>5100</v>
      </c>
      <c r="I431">
        <v>10200</v>
      </c>
    </row>
    <row r="432" spans="1:9" x14ac:dyDescent="0.35">
      <c r="A432" t="s">
        <v>473</v>
      </c>
      <c r="B432" s="4">
        <v>46196</v>
      </c>
      <c r="C432" s="3" t="s">
        <v>44</v>
      </c>
      <c r="D432" s="3" t="s">
        <v>25</v>
      </c>
      <c r="E432" t="s">
        <v>61</v>
      </c>
      <c r="F432" t="s">
        <v>13</v>
      </c>
      <c r="G432" s="3">
        <v>1</v>
      </c>
      <c r="H432">
        <v>7800</v>
      </c>
      <c r="I432">
        <v>7800</v>
      </c>
    </row>
    <row r="433" spans="1:9" x14ac:dyDescent="0.35">
      <c r="A433" t="s">
        <v>474</v>
      </c>
      <c r="B433" s="4">
        <v>46178</v>
      </c>
      <c r="C433" s="3" t="s">
        <v>24</v>
      </c>
      <c r="D433" s="3" t="s">
        <v>16</v>
      </c>
      <c r="E433" t="s">
        <v>12</v>
      </c>
      <c r="F433" t="s">
        <v>13</v>
      </c>
      <c r="G433" s="3">
        <v>3</v>
      </c>
      <c r="H433">
        <v>2500</v>
      </c>
      <c r="I433">
        <v>7500</v>
      </c>
    </row>
    <row r="434" spans="1:9" x14ac:dyDescent="0.35">
      <c r="A434" t="s">
        <v>475</v>
      </c>
      <c r="B434" s="4">
        <v>46155</v>
      </c>
      <c r="C434" s="3" t="s">
        <v>65</v>
      </c>
      <c r="D434" s="3" t="s">
        <v>74</v>
      </c>
      <c r="E434" t="s">
        <v>61</v>
      </c>
      <c r="F434" t="s">
        <v>13</v>
      </c>
      <c r="G434" s="3">
        <v>1</v>
      </c>
      <c r="H434">
        <v>8500</v>
      </c>
      <c r="I434">
        <v>8500</v>
      </c>
    </row>
    <row r="435" spans="1:9" x14ac:dyDescent="0.35">
      <c r="A435" t="s">
        <v>476</v>
      </c>
      <c r="B435" s="4">
        <v>46199</v>
      </c>
      <c r="C435" s="3" t="s">
        <v>34</v>
      </c>
      <c r="D435" s="3" t="s">
        <v>36</v>
      </c>
      <c r="E435" t="s">
        <v>17</v>
      </c>
      <c r="F435" t="s">
        <v>18</v>
      </c>
      <c r="G435" s="3">
        <v>7</v>
      </c>
      <c r="H435">
        <v>35900</v>
      </c>
      <c r="I435">
        <v>251300</v>
      </c>
    </row>
    <row r="436" spans="1:9" x14ac:dyDescent="0.35">
      <c r="A436" t="s">
        <v>477</v>
      </c>
      <c r="B436" s="4">
        <v>46102</v>
      </c>
      <c r="C436" s="3" t="s">
        <v>44</v>
      </c>
      <c r="D436" s="3" t="s">
        <v>11</v>
      </c>
      <c r="E436" t="s">
        <v>32</v>
      </c>
      <c r="F436" t="s">
        <v>13</v>
      </c>
      <c r="G436" s="3">
        <v>4</v>
      </c>
      <c r="H436">
        <v>5000</v>
      </c>
      <c r="I436">
        <v>20000</v>
      </c>
    </row>
    <row r="437" spans="1:9" x14ac:dyDescent="0.35">
      <c r="A437" t="s">
        <v>478</v>
      </c>
      <c r="B437" s="4">
        <v>46064</v>
      </c>
      <c r="C437" s="3" t="s">
        <v>10</v>
      </c>
      <c r="D437" s="3" t="s">
        <v>16</v>
      </c>
      <c r="E437" t="s">
        <v>54</v>
      </c>
      <c r="F437" t="s">
        <v>55</v>
      </c>
      <c r="G437" s="3">
        <v>2</v>
      </c>
      <c r="H437">
        <v>20600</v>
      </c>
      <c r="I437">
        <v>41200</v>
      </c>
    </row>
    <row r="438" spans="1:9" x14ac:dyDescent="0.35">
      <c r="A438" t="s">
        <v>479</v>
      </c>
      <c r="B438" s="4">
        <v>46186</v>
      </c>
      <c r="C438" s="3" t="s">
        <v>44</v>
      </c>
      <c r="D438" s="3" t="s">
        <v>74</v>
      </c>
      <c r="E438" t="s">
        <v>37</v>
      </c>
      <c r="F438" t="s">
        <v>18</v>
      </c>
      <c r="G438" s="3">
        <v>5</v>
      </c>
      <c r="H438">
        <v>63100</v>
      </c>
      <c r="I438">
        <v>315500</v>
      </c>
    </row>
    <row r="439" spans="1:9" x14ac:dyDescent="0.35">
      <c r="A439" t="s">
        <v>480</v>
      </c>
      <c r="B439" s="4">
        <v>46196</v>
      </c>
      <c r="C439" s="3" t="s">
        <v>24</v>
      </c>
      <c r="D439" s="3" t="s">
        <v>25</v>
      </c>
      <c r="E439" t="s">
        <v>26</v>
      </c>
      <c r="F439" t="s">
        <v>18</v>
      </c>
      <c r="G439" s="3">
        <v>8</v>
      </c>
      <c r="H439">
        <v>95200</v>
      </c>
      <c r="I439">
        <v>761600</v>
      </c>
    </row>
    <row r="440" spans="1:9" x14ac:dyDescent="0.35">
      <c r="A440" t="s">
        <v>481</v>
      </c>
      <c r="B440" s="4">
        <v>46136</v>
      </c>
      <c r="C440" s="3" t="s">
        <v>34</v>
      </c>
      <c r="D440" s="3" t="s">
        <v>49</v>
      </c>
      <c r="E440" t="s">
        <v>40</v>
      </c>
      <c r="F440" t="s">
        <v>13</v>
      </c>
      <c r="G440" s="3">
        <v>2</v>
      </c>
      <c r="H440">
        <v>6200</v>
      </c>
      <c r="I440">
        <v>12400</v>
      </c>
    </row>
    <row r="441" spans="1:9" x14ac:dyDescent="0.35">
      <c r="A441" t="s">
        <v>482</v>
      </c>
      <c r="B441" s="4">
        <v>46160</v>
      </c>
      <c r="C441" s="3" t="s">
        <v>46</v>
      </c>
      <c r="D441" s="3" t="s">
        <v>49</v>
      </c>
      <c r="E441" t="s">
        <v>40</v>
      </c>
      <c r="F441" t="s">
        <v>13</v>
      </c>
      <c r="G441" s="3">
        <v>2</v>
      </c>
      <c r="H441">
        <v>6700</v>
      </c>
      <c r="I441">
        <v>13400</v>
      </c>
    </row>
    <row r="442" spans="1:9" x14ac:dyDescent="0.35">
      <c r="A442" t="s">
        <v>483</v>
      </c>
      <c r="B442" s="4">
        <v>46050</v>
      </c>
      <c r="C442" s="3" t="s">
        <v>44</v>
      </c>
      <c r="D442" s="3" t="s">
        <v>36</v>
      </c>
      <c r="E442" t="s">
        <v>17</v>
      </c>
      <c r="F442" t="s">
        <v>18</v>
      </c>
      <c r="G442" s="3">
        <v>6</v>
      </c>
      <c r="H442">
        <v>32400</v>
      </c>
      <c r="I442">
        <v>194400</v>
      </c>
    </row>
    <row r="443" spans="1:9" x14ac:dyDescent="0.35">
      <c r="A443" t="s">
        <v>484</v>
      </c>
      <c r="B443" s="4">
        <v>46046</v>
      </c>
      <c r="C443" s="3" t="s">
        <v>51</v>
      </c>
      <c r="D443" s="3" t="s">
        <v>36</v>
      </c>
      <c r="E443" t="s">
        <v>17</v>
      </c>
      <c r="F443" t="s">
        <v>18</v>
      </c>
      <c r="G443" s="3">
        <v>2</v>
      </c>
      <c r="H443">
        <v>38500</v>
      </c>
      <c r="I443">
        <v>77000</v>
      </c>
    </row>
    <row r="444" spans="1:9" x14ac:dyDescent="0.35">
      <c r="A444" t="s">
        <v>485</v>
      </c>
      <c r="B444" s="4">
        <v>46056</v>
      </c>
      <c r="C444" s="3" t="s">
        <v>65</v>
      </c>
      <c r="D444" s="3" t="s">
        <v>49</v>
      </c>
      <c r="E444" t="s">
        <v>63</v>
      </c>
      <c r="F444" t="s">
        <v>55</v>
      </c>
      <c r="G444" s="3">
        <v>1</v>
      </c>
      <c r="H444">
        <v>29400</v>
      </c>
      <c r="I444">
        <v>29400</v>
      </c>
    </row>
    <row r="445" spans="1:9" x14ac:dyDescent="0.35">
      <c r="A445" t="s">
        <v>486</v>
      </c>
      <c r="B445" s="4">
        <v>46086</v>
      </c>
      <c r="C445" s="3" t="s">
        <v>51</v>
      </c>
      <c r="D445" s="3" t="s">
        <v>16</v>
      </c>
      <c r="E445" t="s">
        <v>37</v>
      </c>
      <c r="F445" t="s">
        <v>18</v>
      </c>
      <c r="G445" s="3">
        <v>1</v>
      </c>
      <c r="H445">
        <v>48800</v>
      </c>
      <c r="I445">
        <v>48800</v>
      </c>
    </row>
    <row r="446" spans="1:9" x14ac:dyDescent="0.35">
      <c r="A446" t="s">
        <v>487</v>
      </c>
      <c r="B446" s="4">
        <v>46106</v>
      </c>
      <c r="C446" s="3" t="s">
        <v>39</v>
      </c>
      <c r="D446" s="3" t="s">
        <v>74</v>
      </c>
      <c r="E446" t="s">
        <v>12</v>
      </c>
      <c r="F446" t="s">
        <v>13</v>
      </c>
      <c r="G446" s="3">
        <v>7</v>
      </c>
      <c r="H446">
        <v>2600</v>
      </c>
      <c r="I446">
        <v>18200</v>
      </c>
    </row>
    <row r="447" spans="1:9" x14ac:dyDescent="0.35">
      <c r="A447" t="s">
        <v>488</v>
      </c>
      <c r="B447" s="4">
        <v>46101</v>
      </c>
      <c r="C447" s="3" t="s">
        <v>51</v>
      </c>
      <c r="D447" s="3" t="s">
        <v>16</v>
      </c>
      <c r="E447" t="s">
        <v>17</v>
      </c>
      <c r="F447" t="s">
        <v>18</v>
      </c>
      <c r="G447" s="3">
        <v>8</v>
      </c>
      <c r="H447">
        <v>38600</v>
      </c>
      <c r="I447">
        <v>308800</v>
      </c>
    </row>
    <row r="448" spans="1:9" x14ac:dyDescent="0.35">
      <c r="A448" t="s">
        <v>489</v>
      </c>
      <c r="B448" s="4">
        <v>46079</v>
      </c>
      <c r="C448" s="3" t="s">
        <v>46</v>
      </c>
      <c r="D448" s="3" t="s">
        <v>25</v>
      </c>
      <c r="E448" t="s">
        <v>26</v>
      </c>
      <c r="F448" t="s">
        <v>18</v>
      </c>
      <c r="G448" s="3">
        <v>1</v>
      </c>
      <c r="H448">
        <v>93400</v>
      </c>
      <c r="I448">
        <v>93400</v>
      </c>
    </row>
    <row r="449" spans="1:9" x14ac:dyDescent="0.35">
      <c r="A449" t="s">
        <v>490</v>
      </c>
      <c r="B449" s="4">
        <v>46166</v>
      </c>
      <c r="C449" s="3" t="s">
        <v>44</v>
      </c>
      <c r="D449" s="3" t="s">
        <v>74</v>
      </c>
      <c r="E449" t="s">
        <v>21</v>
      </c>
      <c r="F449" t="s">
        <v>22</v>
      </c>
      <c r="G449" s="3">
        <v>3</v>
      </c>
      <c r="H449">
        <v>29700</v>
      </c>
      <c r="I449">
        <v>89100</v>
      </c>
    </row>
    <row r="450" spans="1:9" x14ac:dyDescent="0.35">
      <c r="A450" t="s">
        <v>491</v>
      </c>
      <c r="B450" s="4">
        <v>46134</v>
      </c>
      <c r="C450" s="3" t="s">
        <v>29</v>
      </c>
      <c r="D450" s="3" t="s">
        <v>11</v>
      </c>
      <c r="E450" t="s">
        <v>40</v>
      </c>
      <c r="F450" t="s">
        <v>13</v>
      </c>
      <c r="G450" s="3">
        <v>4</v>
      </c>
      <c r="H450">
        <v>7000</v>
      </c>
      <c r="I450">
        <v>28000</v>
      </c>
    </row>
    <row r="451" spans="1:9" x14ac:dyDescent="0.35">
      <c r="A451" t="s">
        <v>492</v>
      </c>
      <c r="B451" s="4">
        <v>46050</v>
      </c>
      <c r="C451" s="3" t="s">
        <v>20</v>
      </c>
      <c r="D451" s="3" t="s">
        <v>36</v>
      </c>
      <c r="E451" t="s">
        <v>63</v>
      </c>
      <c r="F451" t="s">
        <v>55</v>
      </c>
      <c r="G451" s="3">
        <v>5</v>
      </c>
      <c r="H451">
        <v>28200</v>
      </c>
      <c r="I451">
        <v>141000</v>
      </c>
    </row>
    <row r="452" spans="1:9" x14ac:dyDescent="0.35">
      <c r="A452" t="s">
        <v>493</v>
      </c>
      <c r="B452" s="4">
        <v>46066</v>
      </c>
      <c r="C452" s="3" t="s">
        <v>34</v>
      </c>
      <c r="D452" s="3" t="s">
        <v>49</v>
      </c>
      <c r="E452" t="s">
        <v>12</v>
      </c>
      <c r="F452" t="s">
        <v>13</v>
      </c>
      <c r="G452" s="3">
        <v>2</v>
      </c>
      <c r="H452">
        <v>2100</v>
      </c>
      <c r="I452">
        <v>4200</v>
      </c>
    </row>
    <row r="453" spans="1:9" x14ac:dyDescent="0.35">
      <c r="A453" t="s">
        <v>494</v>
      </c>
      <c r="B453" s="4">
        <v>46046</v>
      </c>
      <c r="C453" s="3" t="s">
        <v>39</v>
      </c>
      <c r="D453" s="3" t="s">
        <v>36</v>
      </c>
      <c r="E453" t="s">
        <v>12</v>
      </c>
      <c r="F453" t="s">
        <v>13</v>
      </c>
      <c r="G453" s="3">
        <v>8</v>
      </c>
      <c r="H453">
        <v>2700</v>
      </c>
      <c r="I453">
        <v>21600</v>
      </c>
    </row>
    <row r="454" spans="1:9" x14ac:dyDescent="0.35">
      <c r="A454" t="s">
        <v>495</v>
      </c>
      <c r="B454" s="4">
        <v>46046</v>
      </c>
      <c r="C454" s="3" t="s">
        <v>44</v>
      </c>
      <c r="D454" s="3" t="s">
        <v>16</v>
      </c>
      <c r="E454" t="s">
        <v>21</v>
      </c>
      <c r="F454" t="s">
        <v>22</v>
      </c>
      <c r="G454" s="3">
        <v>1</v>
      </c>
      <c r="H454">
        <v>31100</v>
      </c>
      <c r="I454">
        <v>31100</v>
      </c>
    </row>
    <row r="455" spans="1:9" x14ac:dyDescent="0.35">
      <c r="A455" t="s">
        <v>496</v>
      </c>
      <c r="B455" s="4">
        <v>46061</v>
      </c>
      <c r="C455" s="3" t="s">
        <v>46</v>
      </c>
      <c r="D455" s="3" t="s">
        <v>49</v>
      </c>
      <c r="E455" t="s">
        <v>54</v>
      </c>
      <c r="F455" t="s">
        <v>55</v>
      </c>
      <c r="G455" s="3">
        <v>4</v>
      </c>
      <c r="H455">
        <v>22500</v>
      </c>
      <c r="I455">
        <v>90000</v>
      </c>
    </row>
    <row r="456" spans="1:9" x14ac:dyDescent="0.35">
      <c r="A456" t="s">
        <v>497</v>
      </c>
      <c r="B456" s="4">
        <v>46176</v>
      </c>
      <c r="C456" s="3" t="s">
        <v>24</v>
      </c>
      <c r="D456" s="3" t="s">
        <v>11</v>
      </c>
      <c r="E456" t="s">
        <v>54</v>
      </c>
      <c r="F456" t="s">
        <v>55</v>
      </c>
      <c r="G456" s="3">
        <v>3</v>
      </c>
      <c r="H456">
        <v>21200</v>
      </c>
      <c r="I456">
        <v>63600</v>
      </c>
    </row>
    <row r="457" spans="1:9" x14ac:dyDescent="0.35">
      <c r="A457" t="s">
        <v>498</v>
      </c>
      <c r="B457" s="4">
        <v>46079</v>
      </c>
      <c r="C457" s="3" t="s">
        <v>39</v>
      </c>
      <c r="D457" s="3" t="s">
        <v>25</v>
      </c>
      <c r="E457" t="s">
        <v>37</v>
      </c>
      <c r="F457" t="s">
        <v>18</v>
      </c>
      <c r="G457" s="3">
        <v>5</v>
      </c>
      <c r="H457">
        <v>59100</v>
      </c>
      <c r="I457">
        <v>295500</v>
      </c>
    </row>
    <row r="458" spans="1:9" x14ac:dyDescent="0.35">
      <c r="A458" t="s">
        <v>499</v>
      </c>
      <c r="B458" s="4">
        <v>46097</v>
      </c>
      <c r="C458" s="3" t="s">
        <v>34</v>
      </c>
      <c r="D458" s="3" t="s">
        <v>49</v>
      </c>
      <c r="E458" t="s">
        <v>12</v>
      </c>
      <c r="F458" t="s">
        <v>13</v>
      </c>
      <c r="G458" s="3">
        <v>4</v>
      </c>
      <c r="H458">
        <v>2600</v>
      </c>
      <c r="I458">
        <v>10400</v>
      </c>
    </row>
    <row r="459" spans="1:9" x14ac:dyDescent="0.35">
      <c r="A459" t="s">
        <v>500</v>
      </c>
      <c r="B459" s="4">
        <v>46044</v>
      </c>
      <c r="C459" s="3" t="s">
        <v>34</v>
      </c>
      <c r="D459" s="3" t="s">
        <v>16</v>
      </c>
      <c r="E459" t="s">
        <v>17</v>
      </c>
      <c r="F459" t="s">
        <v>18</v>
      </c>
      <c r="G459" s="3">
        <v>5</v>
      </c>
      <c r="H459">
        <v>36200</v>
      </c>
      <c r="I459">
        <v>181000</v>
      </c>
    </row>
    <row r="460" spans="1:9" x14ac:dyDescent="0.35">
      <c r="A460" t="s">
        <v>501</v>
      </c>
      <c r="B460" s="4">
        <v>46181</v>
      </c>
      <c r="C460" s="3" t="s">
        <v>29</v>
      </c>
      <c r="D460" s="3" t="s">
        <v>11</v>
      </c>
      <c r="E460" t="s">
        <v>54</v>
      </c>
      <c r="F460" t="s">
        <v>55</v>
      </c>
      <c r="G460" s="3">
        <v>1</v>
      </c>
      <c r="H460">
        <v>22900</v>
      </c>
      <c r="I460">
        <v>22900</v>
      </c>
    </row>
    <row r="461" spans="1:9" x14ac:dyDescent="0.35">
      <c r="A461" t="s">
        <v>502</v>
      </c>
      <c r="B461" s="4">
        <v>46032</v>
      </c>
      <c r="C461" s="3" t="s">
        <v>46</v>
      </c>
      <c r="D461" s="3" t="s">
        <v>16</v>
      </c>
      <c r="E461" t="s">
        <v>63</v>
      </c>
      <c r="F461" t="s">
        <v>55</v>
      </c>
      <c r="G461" s="3">
        <v>4</v>
      </c>
      <c r="H461">
        <v>30300</v>
      </c>
      <c r="I461">
        <v>121200</v>
      </c>
    </row>
    <row r="462" spans="1:9" x14ac:dyDescent="0.35">
      <c r="A462" t="s">
        <v>503</v>
      </c>
      <c r="B462" s="4">
        <v>46038</v>
      </c>
      <c r="C462" s="3" t="s">
        <v>24</v>
      </c>
      <c r="D462" s="3" t="s">
        <v>74</v>
      </c>
      <c r="E462" t="s">
        <v>12</v>
      </c>
      <c r="F462" t="s">
        <v>13</v>
      </c>
      <c r="G462" s="3">
        <v>7</v>
      </c>
      <c r="H462">
        <v>2400</v>
      </c>
      <c r="I462">
        <v>16800</v>
      </c>
    </row>
    <row r="463" spans="1:9" x14ac:dyDescent="0.35">
      <c r="A463" t="s">
        <v>504</v>
      </c>
      <c r="B463" s="4">
        <v>46170</v>
      </c>
      <c r="C463" s="3" t="s">
        <v>65</v>
      </c>
      <c r="D463" s="3" t="s">
        <v>49</v>
      </c>
      <c r="E463" t="s">
        <v>54</v>
      </c>
      <c r="F463" t="s">
        <v>55</v>
      </c>
      <c r="G463" s="3">
        <v>2</v>
      </c>
      <c r="H463">
        <v>21200</v>
      </c>
      <c r="I463">
        <v>42400</v>
      </c>
    </row>
    <row r="464" spans="1:9" x14ac:dyDescent="0.35">
      <c r="A464" t="s">
        <v>505</v>
      </c>
      <c r="B464" s="4">
        <v>46132</v>
      </c>
      <c r="C464" s="3" t="s">
        <v>34</v>
      </c>
      <c r="D464" s="3" t="s">
        <v>49</v>
      </c>
      <c r="E464" t="s">
        <v>17</v>
      </c>
      <c r="F464" t="s">
        <v>18</v>
      </c>
      <c r="G464" s="3">
        <v>1</v>
      </c>
      <c r="H464">
        <v>33400</v>
      </c>
      <c r="I464">
        <v>33400</v>
      </c>
    </row>
    <row r="465" spans="1:9" x14ac:dyDescent="0.35">
      <c r="A465" t="s">
        <v>506</v>
      </c>
      <c r="B465" s="4">
        <v>46035</v>
      </c>
      <c r="C465" s="3" t="s">
        <v>34</v>
      </c>
      <c r="D465" s="3" t="s">
        <v>36</v>
      </c>
      <c r="E465" t="s">
        <v>40</v>
      </c>
      <c r="F465" t="s">
        <v>13</v>
      </c>
      <c r="G465" s="3">
        <v>1</v>
      </c>
      <c r="H465">
        <v>6700</v>
      </c>
      <c r="I465">
        <v>6700</v>
      </c>
    </row>
    <row r="466" spans="1:9" x14ac:dyDescent="0.35">
      <c r="A466" t="s">
        <v>507</v>
      </c>
      <c r="B466" s="4">
        <v>46165</v>
      </c>
      <c r="C466" s="3" t="s">
        <v>34</v>
      </c>
      <c r="D466" s="3" t="s">
        <v>49</v>
      </c>
      <c r="E466" t="s">
        <v>32</v>
      </c>
      <c r="F466" t="s">
        <v>13</v>
      </c>
      <c r="G466" s="3">
        <v>8</v>
      </c>
      <c r="H466">
        <v>4100</v>
      </c>
      <c r="I466">
        <v>32800</v>
      </c>
    </row>
    <row r="467" spans="1:9" x14ac:dyDescent="0.35">
      <c r="A467" t="s">
        <v>508</v>
      </c>
      <c r="B467" s="4">
        <v>46163</v>
      </c>
      <c r="C467" s="3" t="s">
        <v>20</v>
      </c>
      <c r="D467" s="3" t="s">
        <v>74</v>
      </c>
      <c r="E467" t="s">
        <v>61</v>
      </c>
      <c r="F467" t="s">
        <v>13</v>
      </c>
      <c r="G467" s="3">
        <v>6</v>
      </c>
      <c r="H467">
        <v>7800</v>
      </c>
      <c r="I467">
        <v>46800</v>
      </c>
    </row>
    <row r="468" spans="1:9" x14ac:dyDescent="0.35">
      <c r="A468" t="s">
        <v>509</v>
      </c>
      <c r="B468" s="4">
        <v>46120</v>
      </c>
      <c r="C468" s="3" t="s">
        <v>10</v>
      </c>
      <c r="D468" s="3" t="s">
        <v>16</v>
      </c>
      <c r="E468" t="s">
        <v>21</v>
      </c>
      <c r="F468" t="s">
        <v>22</v>
      </c>
      <c r="G468" s="3">
        <v>6</v>
      </c>
      <c r="H468">
        <v>30200</v>
      </c>
      <c r="I468">
        <v>181200</v>
      </c>
    </row>
    <row r="469" spans="1:9" x14ac:dyDescent="0.35">
      <c r="A469" t="s">
        <v>510</v>
      </c>
      <c r="B469" s="4">
        <v>46130</v>
      </c>
      <c r="C469" s="3" t="s">
        <v>20</v>
      </c>
      <c r="D469" s="3" t="s">
        <v>36</v>
      </c>
      <c r="E469" t="s">
        <v>17</v>
      </c>
      <c r="F469" t="s">
        <v>18</v>
      </c>
      <c r="G469" s="3">
        <v>6</v>
      </c>
      <c r="H469">
        <v>29900</v>
      </c>
      <c r="I469">
        <v>179400</v>
      </c>
    </row>
    <row r="470" spans="1:9" x14ac:dyDescent="0.35">
      <c r="A470" t="s">
        <v>511</v>
      </c>
      <c r="B470" s="4">
        <v>46088</v>
      </c>
      <c r="C470" s="3" t="s">
        <v>65</v>
      </c>
      <c r="D470" s="3" t="s">
        <v>49</v>
      </c>
      <c r="E470" t="s">
        <v>37</v>
      </c>
      <c r="F470" t="s">
        <v>18</v>
      </c>
      <c r="G470" s="3">
        <v>3</v>
      </c>
      <c r="H470">
        <v>53200</v>
      </c>
      <c r="I470">
        <v>159600</v>
      </c>
    </row>
    <row r="471" spans="1:9" x14ac:dyDescent="0.35">
      <c r="A471" t="s">
        <v>512</v>
      </c>
      <c r="B471" s="4">
        <v>46174</v>
      </c>
      <c r="C471" s="3" t="s">
        <v>20</v>
      </c>
      <c r="D471" s="3" t="s">
        <v>74</v>
      </c>
      <c r="E471" t="s">
        <v>26</v>
      </c>
      <c r="F471" t="s">
        <v>18</v>
      </c>
      <c r="G471" s="3">
        <v>3</v>
      </c>
      <c r="H471">
        <v>74900</v>
      </c>
      <c r="I471">
        <v>224700</v>
      </c>
    </row>
    <row r="472" spans="1:9" x14ac:dyDescent="0.35">
      <c r="A472" t="s">
        <v>513</v>
      </c>
      <c r="B472" s="4">
        <v>46046</v>
      </c>
      <c r="C472" s="3" t="s">
        <v>31</v>
      </c>
      <c r="D472" s="3" t="s">
        <v>49</v>
      </c>
      <c r="E472" t="s">
        <v>37</v>
      </c>
      <c r="F472" t="s">
        <v>18</v>
      </c>
      <c r="G472" s="3">
        <v>6</v>
      </c>
      <c r="H472">
        <v>52700</v>
      </c>
      <c r="I472">
        <v>316200</v>
      </c>
    </row>
    <row r="473" spans="1:9" x14ac:dyDescent="0.35">
      <c r="A473" t="s">
        <v>514</v>
      </c>
      <c r="B473" s="4">
        <v>46161</v>
      </c>
      <c r="C473" s="3" t="s">
        <v>65</v>
      </c>
      <c r="D473" s="3" t="s">
        <v>36</v>
      </c>
      <c r="E473" t="s">
        <v>26</v>
      </c>
      <c r="F473" t="s">
        <v>18</v>
      </c>
      <c r="G473" s="3">
        <v>7</v>
      </c>
      <c r="H473">
        <v>83400</v>
      </c>
      <c r="I473">
        <v>583800</v>
      </c>
    </row>
    <row r="474" spans="1:9" x14ac:dyDescent="0.35">
      <c r="A474" t="s">
        <v>515</v>
      </c>
      <c r="B474" s="4">
        <v>46086</v>
      </c>
      <c r="C474" s="3" t="s">
        <v>34</v>
      </c>
      <c r="D474" s="3" t="s">
        <v>49</v>
      </c>
      <c r="E474" t="s">
        <v>61</v>
      </c>
      <c r="F474" t="s">
        <v>13</v>
      </c>
      <c r="G474" s="3">
        <v>8</v>
      </c>
      <c r="H474">
        <v>7400</v>
      </c>
      <c r="I474">
        <v>59200</v>
      </c>
    </row>
    <row r="475" spans="1:9" x14ac:dyDescent="0.35">
      <c r="A475" t="s">
        <v>516</v>
      </c>
      <c r="B475" s="4">
        <v>46201</v>
      </c>
      <c r="C475" s="3" t="s">
        <v>39</v>
      </c>
      <c r="D475" s="3" t="s">
        <v>74</v>
      </c>
      <c r="E475" t="s">
        <v>63</v>
      </c>
      <c r="F475" t="s">
        <v>55</v>
      </c>
      <c r="G475" s="3">
        <v>6</v>
      </c>
      <c r="H475">
        <v>32800</v>
      </c>
      <c r="I475">
        <v>196800</v>
      </c>
    </row>
    <row r="476" spans="1:9" x14ac:dyDescent="0.35">
      <c r="A476" t="s">
        <v>517</v>
      </c>
      <c r="B476" s="4">
        <v>46086</v>
      </c>
      <c r="C476" s="3" t="s">
        <v>29</v>
      </c>
      <c r="D476" s="3" t="s">
        <v>16</v>
      </c>
      <c r="E476" t="s">
        <v>54</v>
      </c>
      <c r="F476" t="s">
        <v>55</v>
      </c>
      <c r="G476" s="3">
        <v>8</v>
      </c>
      <c r="H476">
        <v>19000</v>
      </c>
      <c r="I476">
        <v>152000</v>
      </c>
    </row>
    <row r="477" spans="1:9" x14ac:dyDescent="0.35">
      <c r="A477" t="s">
        <v>518</v>
      </c>
      <c r="B477" s="4">
        <v>46154</v>
      </c>
      <c r="C477" s="3" t="s">
        <v>24</v>
      </c>
      <c r="D477" s="3" t="s">
        <v>36</v>
      </c>
      <c r="E477" t="s">
        <v>37</v>
      </c>
      <c r="F477" t="s">
        <v>18</v>
      </c>
      <c r="G477" s="3">
        <v>3</v>
      </c>
      <c r="H477">
        <v>59300</v>
      </c>
      <c r="I477">
        <v>177900</v>
      </c>
    </row>
    <row r="478" spans="1:9" x14ac:dyDescent="0.35">
      <c r="A478" t="s">
        <v>519</v>
      </c>
      <c r="B478" s="4">
        <v>46159</v>
      </c>
      <c r="C478" s="3" t="s">
        <v>44</v>
      </c>
      <c r="D478" s="3" t="s">
        <v>36</v>
      </c>
      <c r="E478" t="s">
        <v>32</v>
      </c>
      <c r="F478" t="s">
        <v>13</v>
      </c>
      <c r="G478" s="3">
        <v>6</v>
      </c>
      <c r="H478">
        <v>3900</v>
      </c>
      <c r="I478">
        <v>23400</v>
      </c>
    </row>
    <row r="479" spans="1:9" x14ac:dyDescent="0.35">
      <c r="A479" t="s">
        <v>520</v>
      </c>
      <c r="B479" s="4">
        <v>46148</v>
      </c>
      <c r="C479" s="3" t="s">
        <v>65</v>
      </c>
      <c r="D479" s="3" t="s">
        <v>74</v>
      </c>
      <c r="E479" t="s">
        <v>54</v>
      </c>
      <c r="F479" t="s">
        <v>55</v>
      </c>
      <c r="G479" s="3">
        <v>5</v>
      </c>
      <c r="H479">
        <v>22300</v>
      </c>
      <c r="I479">
        <v>111500</v>
      </c>
    </row>
    <row r="480" spans="1:9" x14ac:dyDescent="0.35">
      <c r="A480" t="s">
        <v>521</v>
      </c>
      <c r="B480" s="4">
        <v>46186</v>
      </c>
      <c r="C480" s="3" t="s">
        <v>31</v>
      </c>
      <c r="D480" s="3" t="s">
        <v>49</v>
      </c>
      <c r="E480" t="s">
        <v>61</v>
      </c>
      <c r="F480" t="s">
        <v>13</v>
      </c>
      <c r="G480" s="3">
        <v>2</v>
      </c>
      <c r="H480">
        <v>7900</v>
      </c>
      <c r="I480">
        <v>15800</v>
      </c>
    </row>
    <row r="481" spans="1:9" x14ac:dyDescent="0.35">
      <c r="A481" t="s">
        <v>522</v>
      </c>
      <c r="B481" s="4">
        <v>46122</v>
      </c>
      <c r="C481" s="3" t="s">
        <v>24</v>
      </c>
      <c r="D481" s="3" t="s">
        <v>16</v>
      </c>
      <c r="E481" t="s">
        <v>63</v>
      </c>
      <c r="F481" t="s">
        <v>55</v>
      </c>
      <c r="G481" s="3">
        <v>4</v>
      </c>
      <c r="H481">
        <v>30500</v>
      </c>
      <c r="I481">
        <v>122000</v>
      </c>
    </row>
    <row r="482" spans="1:9" x14ac:dyDescent="0.35">
      <c r="A482" t="s">
        <v>523</v>
      </c>
      <c r="B482" s="4">
        <v>46147</v>
      </c>
      <c r="C482" s="3" t="s">
        <v>39</v>
      </c>
      <c r="D482" s="3" t="s">
        <v>74</v>
      </c>
      <c r="E482" t="s">
        <v>21</v>
      </c>
      <c r="F482" t="s">
        <v>22</v>
      </c>
      <c r="G482" s="3">
        <v>8</v>
      </c>
      <c r="H482">
        <v>28400</v>
      </c>
      <c r="I482">
        <v>227200</v>
      </c>
    </row>
    <row r="483" spans="1:9" x14ac:dyDescent="0.35">
      <c r="A483" t="s">
        <v>524</v>
      </c>
      <c r="B483" s="4">
        <v>46050</v>
      </c>
      <c r="C483" s="3" t="s">
        <v>46</v>
      </c>
      <c r="D483" s="3" t="s">
        <v>25</v>
      </c>
      <c r="E483" t="s">
        <v>40</v>
      </c>
      <c r="F483" t="s">
        <v>13</v>
      </c>
      <c r="G483" s="3">
        <v>3</v>
      </c>
      <c r="H483">
        <v>7000</v>
      </c>
      <c r="I483">
        <v>21000</v>
      </c>
    </row>
    <row r="484" spans="1:9" x14ac:dyDescent="0.35">
      <c r="A484" t="s">
        <v>525</v>
      </c>
      <c r="B484" s="4">
        <v>46104</v>
      </c>
      <c r="C484" s="3" t="s">
        <v>24</v>
      </c>
      <c r="D484" s="3" t="s">
        <v>36</v>
      </c>
      <c r="E484" t="s">
        <v>40</v>
      </c>
      <c r="F484" t="s">
        <v>13</v>
      </c>
      <c r="G484" s="3">
        <v>4</v>
      </c>
      <c r="H484">
        <v>6100</v>
      </c>
      <c r="I484">
        <v>24400</v>
      </c>
    </row>
    <row r="485" spans="1:9" x14ac:dyDescent="0.35">
      <c r="A485" t="s">
        <v>526</v>
      </c>
      <c r="B485" s="4">
        <v>46085</v>
      </c>
      <c r="C485" s="3" t="s">
        <v>46</v>
      </c>
      <c r="D485" s="3" t="s">
        <v>16</v>
      </c>
      <c r="E485" t="s">
        <v>17</v>
      </c>
      <c r="F485" t="s">
        <v>18</v>
      </c>
      <c r="G485" s="3">
        <v>3</v>
      </c>
      <c r="H485">
        <v>35400</v>
      </c>
      <c r="I485">
        <v>106200</v>
      </c>
    </row>
    <row r="486" spans="1:9" x14ac:dyDescent="0.35">
      <c r="A486" t="s">
        <v>527</v>
      </c>
      <c r="B486" s="4">
        <v>46037</v>
      </c>
      <c r="C486" s="3" t="s">
        <v>24</v>
      </c>
      <c r="D486" s="3" t="s">
        <v>16</v>
      </c>
      <c r="E486" t="s">
        <v>32</v>
      </c>
      <c r="F486" t="s">
        <v>13</v>
      </c>
      <c r="G486" s="3">
        <v>7</v>
      </c>
      <c r="H486">
        <v>4400</v>
      </c>
      <c r="I486">
        <v>30800</v>
      </c>
    </row>
    <row r="487" spans="1:9" x14ac:dyDescent="0.35">
      <c r="A487" t="s">
        <v>528</v>
      </c>
      <c r="B487" s="4">
        <v>46099</v>
      </c>
      <c r="C487" s="3" t="s">
        <v>46</v>
      </c>
      <c r="D487" s="3" t="s">
        <v>16</v>
      </c>
      <c r="E487" t="s">
        <v>17</v>
      </c>
      <c r="F487" t="s">
        <v>18</v>
      </c>
      <c r="G487" s="3">
        <v>6</v>
      </c>
      <c r="H487">
        <v>33600</v>
      </c>
      <c r="I487">
        <v>201600</v>
      </c>
    </row>
    <row r="488" spans="1:9" x14ac:dyDescent="0.35">
      <c r="A488" t="s">
        <v>529</v>
      </c>
      <c r="B488" s="4">
        <v>46090</v>
      </c>
      <c r="C488" s="3" t="s">
        <v>20</v>
      </c>
      <c r="D488" s="3" t="s">
        <v>49</v>
      </c>
      <c r="E488" t="s">
        <v>37</v>
      </c>
      <c r="F488" t="s">
        <v>18</v>
      </c>
      <c r="G488" s="3">
        <v>1</v>
      </c>
      <c r="H488">
        <v>63000</v>
      </c>
      <c r="I488">
        <v>63000</v>
      </c>
    </row>
    <row r="489" spans="1:9" x14ac:dyDescent="0.35">
      <c r="A489" t="s">
        <v>530</v>
      </c>
      <c r="B489" s="4">
        <v>46125</v>
      </c>
      <c r="C489" s="3" t="s">
        <v>31</v>
      </c>
      <c r="D489" s="3" t="s">
        <v>25</v>
      </c>
      <c r="E489" t="s">
        <v>61</v>
      </c>
      <c r="F489" t="s">
        <v>13</v>
      </c>
      <c r="G489" s="3">
        <v>8</v>
      </c>
      <c r="H489">
        <v>7300</v>
      </c>
      <c r="I489">
        <v>58400</v>
      </c>
    </row>
    <row r="490" spans="1:9" x14ac:dyDescent="0.35">
      <c r="A490" t="s">
        <v>531</v>
      </c>
      <c r="B490" s="4">
        <v>46167</v>
      </c>
      <c r="C490" s="3" t="s">
        <v>31</v>
      </c>
      <c r="D490" s="3" t="s">
        <v>36</v>
      </c>
      <c r="E490" t="s">
        <v>63</v>
      </c>
      <c r="F490" t="s">
        <v>55</v>
      </c>
      <c r="G490" s="3">
        <v>6</v>
      </c>
      <c r="H490">
        <v>33100</v>
      </c>
      <c r="I490">
        <v>198600</v>
      </c>
    </row>
    <row r="491" spans="1:9" x14ac:dyDescent="0.35">
      <c r="A491" t="s">
        <v>532</v>
      </c>
      <c r="B491" s="4">
        <v>46105</v>
      </c>
      <c r="C491" s="3" t="s">
        <v>65</v>
      </c>
      <c r="D491" s="3" t="s">
        <v>11</v>
      </c>
      <c r="E491" t="s">
        <v>54</v>
      </c>
      <c r="F491" t="s">
        <v>55</v>
      </c>
      <c r="G491" s="3">
        <v>7</v>
      </c>
      <c r="H491">
        <v>21700</v>
      </c>
      <c r="I491">
        <v>151900</v>
      </c>
    </row>
    <row r="492" spans="1:9" x14ac:dyDescent="0.35">
      <c r="A492" t="s">
        <v>533</v>
      </c>
      <c r="B492" s="4">
        <v>46200</v>
      </c>
      <c r="C492" s="3" t="s">
        <v>46</v>
      </c>
      <c r="D492" s="3" t="s">
        <v>74</v>
      </c>
      <c r="E492" t="s">
        <v>40</v>
      </c>
      <c r="F492" t="s">
        <v>13</v>
      </c>
      <c r="G492" s="3">
        <v>2</v>
      </c>
      <c r="H492">
        <v>5900</v>
      </c>
      <c r="I492">
        <v>11800</v>
      </c>
    </row>
    <row r="493" spans="1:9" x14ac:dyDescent="0.35">
      <c r="A493" t="s">
        <v>534</v>
      </c>
      <c r="B493" s="4">
        <v>46137</v>
      </c>
      <c r="C493" s="3" t="s">
        <v>29</v>
      </c>
      <c r="D493" s="3" t="s">
        <v>16</v>
      </c>
      <c r="E493" t="s">
        <v>54</v>
      </c>
      <c r="F493" t="s">
        <v>55</v>
      </c>
      <c r="G493" s="3">
        <v>8</v>
      </c>
      <c r="H493">
        <v>23800</v>
      </c>
      <c r="I493">
        <v>190400</v>
      </c>
    </row>
    <row r="494" spans="1:9" x14ac:dyDescent="0.35">
      <c r="A494" t="s">
        <v>535</v>
      </c>
      <c r="B494" s="4">
        <v>46082</v>
      </c>
      <c r="C494" s="3" t="s">
        <v>24</v>
      </c>
      <c r="D494" s="3" t="s">
        <v>16</v>
      </c>
      <c r="E494" t="s">
        <v>54</v>
      </c>
      <c r="F494" t="s">
        <v>55</v>
      </c>
      <c r="G494" s="3">
        <v>2</v>
      </c>
      <c r="H494">
        <v>19400</v>
      </c>
      <c r="I494">
        <v>38800</v>
      </c>
    </row>
    <row r="495" spans="1:9" x14ac:dyDescent="0.35">
      <c r="A495" t="s">
        <v>536</v>
      </c>
      <c r="B495" s="4">
        <v>46070</v>
      </c>
      <c r="C495" s="3" t="s">
        <v>24</v>
      </c>
      <c r="D495" s="3" t="s">
        <v>36</v>
      </c>
      <c r="E495" t="s">
        <v>17</v>
      </c>
      <c r="F495" t="s">
        <v>18</v>
      </c>
      <c r="G495" s="3">
        <v>6</v>
      </c>
      <c r="H495">
        <v>35300</v>
      </c>
      <c r="I495">
        <v>211800</v>
      </c>
    </row>
    <row r="496" spans="1:9" x14ac:dyDescent="0.35">
      <c r="A496" t="s">
        <v>537</v>
      </c>
      <c r="B496" s="4">
        <v>46196</v>
      </c>
      <c r="C496" s="3" t="s">
        <v>51</v>
      </c>
      <c r="D496" s="3" t="s">
        <v>11</v>
      </c>
      <c r="E496" t="s">
        <v>26</v>
      </c>
      <c r="F496" t="s">
        <v>18</v>
      </c>
      <c r="G496" s="3">
        <v>7</v>
      </c>
      <c r="H496">
        <v>80800</v>
      </c>
      <c r="I496">
        <v>565600</v>
      </c>
    </row>
    <row r="497" spans="1:9" x14ac:dyDescent="0.35">
      <c r="A497" t="s">
        <v>538</v>
      </c>
      <c r="B497" s="4">
        <v>46117</v>
      </c>
      <c r="C497" s="3" t="s">
        <v>39</v>
      </c>
      <c r="D497" s="3" t="s">
        <v>16</v>
      </c>
      <c r="E497" t="s">
        <v>61</v>
      </c>
      <c r="F497" t="s">
        <v>13</v>
      </c>
      <c r="G497" s="3">
        <v>6</v>
      </c>
      <c r="H497">
        <v>9000</v>
      </c>
      <c r="I497">
        <v>54000</v>
      </c>
    </row>
    <row r="498" spans="1:9" x14ac:dyDescent="0.35">
      <c r="A498" t="s">
        <v>539</v>
      </c>
      <c r="B498" s="4">
        <v>46118</v>
      </c>
      <c r="C498" s="3" t="s">
        <v>51</v>
      </c>
      <c r="D498" s="3" t="s">
        <v>25</v>
      </c>
      <c r="E498" t="s">
        <v>21</v>
      </c>
      <c r="F498" t="s">
        <v>22</v>
      </c>
      <c r="G498" s="3">
        <v>1</v>
      </c>
      <c r="H498">
        <v>26300</v>
      </c>
      <c r="I498">
        <v>26300</v>
      </c>
    </row>
    <row r="499" spans="1:9" x14ac:dyDescent="0.35">
      <c r="A499" t="s">
        <v>540</v>
      </c>
      <c r="B499" s="4">
        <v>46134</v>
      </c>
      <c r="C499" s="3" t="s">
        <v>34</v>
      </c>
      <c r="D499" s="3" t="s">
        <v>49</v>
      </c>
      <c r="E499" t="s">
        <v>26</v>
      </c>
      <c r="F499" t="s">
        <v>18</v>
      </c>
      <c r="G499" s="3">
        <v>3</v>
      </c>
      <c r="H499">
        <v>74400</v>
      </c>
      <c r="I499">
        <v>223200</v>
      </c>
    </row>
    <row r="500" spans="1:9" x14ac:dyDescent="0.35">
      <c r="A500" t="s">
        <v>541</v>
      </c>
      <c r="B500" s="4">
        <v>46037</v>
      </c>
      <c r="C500" s="3" t="s">
        <v>24</v>
      </c>
      <c r="D500" s="3" t="s">
        <v>16</v>
      </c>
      <c r="E500" t="s">
        <v>40</v>
      </c>
      <c r="F500" t="s">
        <v>13</v>
      </c>
      <c r="G500" s="3">
        <v>3</v>
      </c>
      <c r="H500">
        <v>7100</v>
      </c>
      <c r="I500">
        <v>21300</v>
      </c>
    </row>
    <row r="501" spans="1:9" x14ac:dyDescent="0.35">
      <c r="A501" t="s">
        <v>542</v>
      </c>
      <c r="B501" s="4">
        <v>46148</v>
      </c>
      <c r="C501" s="3" t="s">
        <v>44</v>
      </c>
      <c r="D501" s="3" t="s">
        <v>11</v>
      </c>
      <c r="E501" t="s">
        <v>543</v>
      </c>
      <c r="F501" t="s">
        <v>13</v>
      </c>
      <c r="G501" s="3">
        <v>5</v>
      </c>
      <c r="H501">
        <v>6100</v>
      </c>
      <c r="I501">
        <v>30500</v>
      </c>
    </row>
    <row r="502" spans="1:9" x14ac:dyDescent="0.35">
      <c r="A502" t="s">
        <v>544</v>
      </c>
      <c r="B502" s="4">
        <v>46202</v>
      </c>
      <c r="C502" s="3" t="s">
        <v>44</v>
      </c>
      <c r="D502" s="3" t="s">
        <v>36</v>
      </c>
      <c r="E502" t="s">
        <v>12</v>
      </c>
      <c r="F502" t="s">
        <v>13</v>
      </c>
      <c r="G502" s="3">
        <v>5</v>
      </c>
      <c r="H502">
        <v>2800</v>
      </c>
      <c r="I502">
        <v>14000</v>
      </c>
    </row>
    <row r="503" spans="1:9" x14ac:dyDescent="0.35">
      <c r="A503" t="s">
        <v>545</v>
      </c>
      <c r="B503" s="4">
        <v>46027</v>
      </c>
      <c r="C503" s="3" t="s">
        <v>39</v>
      </c>
      <c r="D503" s="3" t="s">
        <v>11</v>
      </c>
      <c r="E503" t="s">
        <v>61</v>
      </c>
      <c r="F503" t="s">
        <v>13</v>
      </c>
      <c r="G503" s="3">
        <v>7</v>
      </c>
      <c r="H503">
        <v>8600</v>
      </c>
      <c r="I503">
        <v>60200</v>
      </c>
    </row>
    <row r="504" spans="1:9" x14ac:dyDescent="0.35">
      <c r="A504" t="s">
        <v>546</v>
      </c>
      <c r="B504" s="4">
        <v>46099</v>
      </c>
      <c r="C504" s="3" t="s">
        <v>31</v>
      </c>
      <c r="D504" s="3" t="s">
        <v>36</v>
      </c>
      <c r="E504" t="s">
        <v>17</v>
      </c>
      <c r="F504" t="s">
        <v>18</v>
      </c>
      <c r="G504" s="3">
        <v>8</v>
      </c>
      <c r="H504">
        <v>31500</v>
      </c>
      <c r="I504">
        <v>252000</v>
      </c>
    </row>
    <row r="505" spans="1:9" x14ac:dyDescent="0.35">
      <c r="A505" t="s">
        <v>547</v>
      </c>
      <c r="B505" s="4">
        <v>46137</v>
      </c>
      <c r="C505" s="3" t="s">
        <v>31</v>
      </c>
      <c r="D505" s="3" t="s">
        <v>16</v>
      </c>
      <c r="E505" t="s">
        <v>61</v>
      </c>
      <c r="F505" t="s">
        <v>13</v>
      </c>
      <c r="G505" s="3">
        <v>2</v>
      </c>
      <c r="H505">
        <v>9000</v>
      </c>
      <c r="I505">
        <v>18000</v>
      </c>
    </row>
    <row r="506" spans="1:9" x14ac:dyDescent="0.35">
      <c r="A506" t="s">
        <v>548</v>
      </c>
      <c r="B506" s="4">
        <v>46072</v>
      </c>
      <c r="C506" s="3" t="s">
        <v>24</v>
      </c>
      <c r="D506" s="3" t="s">
        <v>36</v>
      </c>
      <c r="E506" t="s">
        <v>26</v>
      </c>
      <c r="F506" t="s">
        <v>18</v>
      </c>
      <c r="G506" s="3">
        <v>2</v>
      </c>
      <c r="H506">
        <v>84300</v>
      </c>
      <c r="I506">
        <v>168600</v>
      </c>
    </row>
    <row r="507" spans="1:9" x14ac:dyDescent="0.35">
      <c r="A507" t="s">
        <v>549</v>
      </c>
      <c r="B507" s="4">
        <v>46061</v>
      </c>
      <c r="C507" s="3" t="s">
        <v>39</v>
      </c>
      <c r="D507" s="3" t="s">
        <v>16</v>
      </c>
      <c r="E507" t="s">
        <v>40</v>
      </c>
      <c r="F507" t="s">
        <v>13</v>
      </c>
      <c r="G507" s="3">
        <v>8</v>
      </c>
      <c r="H507">
        <v>6800</v>
      </c>
      <c r="I507">
        <v>54400</v>
      </c>
    </row>
    <row r="508" spans="1:9" x14ac:dyDescent="0.35">
      <c r="A508" t="s">
        <v>550</v>
      </c>
      <c r="B508" s="4">
        <v>46073</v>
      </c>
      <c r="C508" s="3" t="s">
        <v>20</v>
      </c>
      <c r="D508" s="3" t="s">
        <v>16</v>
      </c>
      <c r="E508" t="s">
        <v>32</v>
      </c>
      <c r="F508" t="s">
        <v>13</v>
      </c>
      <c r="G508" s="3">
        <v>3</v>
      </c>
      <c r="H508">
        <v>4500</v>
      </c>
      <c r="I508">
        <v>13500</v>
      </c>
    </row>
    <row r="509" spans="1:9" x14ac:dyDescent="0.35">
      <c r="A509" t="s">
        <v>551</v>
      </c>
      <c r="B509" s="4">
        <v>46183</v>
      </c>
      <c r="C509" s="3" t="s">
        <v>44</v>
      </c>
      <c r="D509" s="3" t="s">
        <v>25</v>
      </c>
      <c r="E509" t="s">
        <v>12</v>
      </c>
      <c r="F509" t="s">
        <v>13</v>
      </c>
      <c r="G509" s="3">
        <v>1</v>
      </c>
      <c r="H509">
        <v>2600</v>
      </c>
      <c r="I509">
        <v>2600</v>
      </c>
    </row>
    <row r="510" spans="1:9" x14ac:dyDescent="0.35">
      <c r="A510" t="s">
        <v>552</v>
      </c>
      <c r="B510" s="4">
        <v>46194</v>
      </c>
      <c r="C510" s="3" t="s">
        <v>29</v>
      </c>
      <c r="D510" s="3" t="s">
        <v>25</v>
      </c>
      <c r="E510" t="s">
        <v>54</v>
      </c>
      <c r="F510" t="s">
        <v>55</v>
      </c>
      <c r="G510" s="3">
        <v>6</v>
      </c>
      <c r="H510">
        <v>19300</v>
      </c>
      <c r="I510">
        <v>115800</v>
      </c>
    </row>
    <row r="511" spans="1:9" x14ac:dyDescent="0.35">
      <c r="A511" t="s">
        <v>553</v>
      </c>
      <c r="B511" s="4">
        <v>46195</v>
      </c>
      <c r="C511" s="3" t="s">
        <v>44</v>
      </c>
      <c r="D511" s="3" t="s">
        <v>16</v>
      </c>
      <c r="E511" t="s">
        <v>54</v>
      </c>
      <c r="F511" t="s">
        <v>55</v>
      </c>
      <c r="G511" s="3">
        <v>4</v>
      </c>
      <c r="H511">
        <v>19700</v>
      </c>
      <c r="I511">
        <v>78800</v>
      </c>
    </row>
    <row r="512" spans="1:9" x14ac:dyDescent="0.35">
      <c r="A512" t="s">
        <v>554</v>
      </c>
      <c r="B512" s="4">
        <v>46059</v>
      </c>
      <c r="C512" s="3" t="s">
        <v>39</v>
      </c>
      <c r="D512" s="3" t="s">
        <v>11</v>
      </c>
      <c r="E512" t="s">
        <v>63</v>
      </c>
      <c r="F512" t="s">
        <v>55</v>
      </c>
      <c r="G512" s="3">
        <v>2</v>
      </c>
      <c r="H512">
        <v>33900</v>
      </c>
      <c r="I512">
        <v>67800</v>
      </c>
    </row>
    <row r="513" spans="1:9" x14ac:dyDescent="0.35">
      <c r="A513" t="s">
        <v>555</v>
      </c>
      <c r="B513" s="4">
        <v>46164</v>
      </c>
      <c r="C513" s="3" t="s">
        <v>44</v>
      </c>
      <c r="D513" s="3" t="s">
        <v>36</v>
      </c>
      <c r="E513" t="s">
        <v>17</v>
      </c>
      <c r="F513" t="s">
        <v>18</v>
      </c>
      <c r="G513" s="3">
        <v>7</v>
      </c>
      <c r="H513">
        <v>34600</v>
      </c>
      <c r="I513">
        <v>242200</v>
      </c>
    </row>
    <row r="514" spans="1:9" x14ac:dyDescent="0.35">
      <c r="A514" t="s">
        <v>556</v>
      </c>
      <c r="B514" s="4">
        <v>46104</v>
      </c>
      <c r="C514" s="3" t="s">
        <v>44</v>
      </c>
      <c r="D514" s="3" t="s">
        <v>49</v>
      </c>
      <c r="E514" t="s">
        <v>32</v>
      </c>
      <c r="F514" t="s">
        <v>13</v>
      </c>
      <c r="G514" s="3">
        <v>6</v>
      </c>
      <c r="H514">
        <v>5000</v>
      </c>
      <c r="I514">
        <v>30000</v>
      </c>
    </row>
    <row r="515" spans="1:9" x14ac:dyDescent="0.35">
      <c r="A515" t="s">
        <v>557</v>
      </c>
      <c r="B515" s="4">
        <v>46124</v>
      </c>
      <c r="C515" s="3" t="s">
        <v>34</v>
      </c>
      <c r="D515" s="3" t="s">
        <v>16</v>
      </c>
      <c r="E515" t="s">
        <v>21</v>
      </c>
      <c r="F515" t="s">
        <v>22</v>
      </c>
      <c r="G515" s="3">
        <v>4</v>
      </c>
      <c r="H515">
        <v>29300</v>
      </c>
      <c r="I515">
        <v>117200</v>
      </c>
    </row>
    <row r="516" spans="1:9" x14ac:dyDescent="0.35">
      <c r="A516" t="s">
        <v>558</v>
      </c>
      <c r="B516" s="4">
        <v>46037</v>
      </c>
      <c r="C516" s="3" t="s">
        <v>29</v>
      </c>
      <c r="D516" s="3" t="s">
        <v>74</v>
      </c>
      <c r="E516" t="s">
        <v>32</v>
      </c>
      <c r="F516" t="s">
        <v>13</v>
      </c>
      <c r="G516" s="3">
        <v>3</v>
      </c>
      <c r="H516">
        <v>4400</v>
      </c>
      <c r="I516">
        <v>13200</v>
      </c>
    </row>
    <row r="517" spans="1:9" x14ac:dyDescent="0.35">
      <c r="A517" t="s">
        <v>559</v>
      </c>
      <c r="B517" s="4">
        <v>46192</v>
      </c>
      <c r="C517" s="3" t="s">
        <v>39</v>
      </c>
      <c r="D517" s="3" t="s">
        <v>49</v>
      </c>
      <c r="E517" t="s">
        <v>21</v>
      </c>
      <c r="F517" t="s">
        <v>22</v>
      </c>
      <c r="G517" s="3">
        <v>4</v>
      </c>
      <c r="H517">
        <v>31200</v>
      </c>
      <c r="I517">
        <v>124800</v>
      </c>
    </row>
    <row r="518" spans="1:9" x14ac:dyDescent="0.35">
      <c r="A518" t="s">
        <v>560</v>
      </c>
      <c r="B518" s="4">
        <v>46062</v>
      </c>
      <c r="C518" s="3" t="s">
        <v>34</v>
      </c>
      <c r="D518" s="3" t="s">
        <v>16</v>
      </c>
      <c r="E518" t="s">
        <v>21</v>
      </c>
      <c r="F518" t="s">
        <v>22</v>
      </c>
      <c r="G518" s="3">
        <v>5</v>
      </c>
      <c r="H518">
        <v>26900</v>
      </c>
      <c r="I518">
        <v>134500</v>
      </c>
    </row>
    <row r="519" spans="1:9" x14ac:dyDescent="0.35">
      <c r="A519" t="s">
        <v>561</v>
      </c>
      <c r="B519" s="4">
        <v>46069</v>
      </c>
      <c r="C519" s="3" t="s">
        <v>46</v>
      </c>
      <c r="D519" s="3" t="s">
        <v>25</v>
      </c>
      <c r="E519" t="s">
        <v>12</v>
      </c>
      <c r="F519" t="s">
        <v>13</v>
      </c>
      <c r="G519" s="3">
        <v>7</v>
      </c>
      <c r="H519">
        <v>2500</v>
      </c>
      <c r="I519">
        <v>17500</v>
      </c>
    </row>
    <row r="520" spans="1:9" x14ac:dyDescent="0.35">
      <c r="A520" t="s">
        <v>562</v>
      </c>
      <c r="B520" s="4">
        <v>46196</v>
      </c>
      <c r="C520" s="3" t="s">
        <v>15</v>
      </c>
      <c r="D520" s="3" t="s">
        <v>11</v>
      </c>
      <c r="E520" t="s">
        <v>17</v>
      </c>
      <c r="F520" t="s">
        <v>18</v>
      </c>
      <c r="G520" s="3">
        <v>7</v>
      </c>
      <c r="H520">
        <v>35200</v>
      </c>
      <c r="I520">
        <v>246400</v>
      </c>
    </row>
    <row r="521" spans="1:9" x14ac:dyDescent="0.35">
      <c r="A521" t="s">
        <v>563</v>
      </c>
      <c r="B521" s="4">
        <v>46090</v>
      </c>
      <c r="C521" s="3" t="s">
        <v>24</v>
      </c>
      <c r="D521" s="3" t="s">
        <v>25</v>
      </c>
      <c r="E521" t="s">
        <v>37</v>
      </c>
      <c r="F521" t="s">
        <v>18</v>
      </c>
      <c r="G521" s="3">
        <v>3</v>
      </c>
      <c r="H521">
        <v>54200</v>
      </c>
      <c r="I521">
        <v>162600</v>
      </c>
    </row>
    <row r="522" spans="1:9" x14ac:dyDescent="0.35">
      <c r="A522" t="s">
        <v>564</v>
      </c>
      <c r="B522" s="4">
        <v>46066</v>
      </c>
      <c r="C522" s="3" t="s">
        <v>24</v>
      </c>
      <c r="D522" s="3" t="s">
        <v>11</v>
      </c>
      <c r="E522" t="s">
        <v>12</v>
      </c>
      <c r="F522" t="s">
        <v>13</v>
      </c>
      <c r="G522" s="3">
        <v>1</v>
      </c>
      <c r="H522">
        <v>2600</v>
      </c>
      <c r="I522">
        <v>2600</v>
      </c>
    </row>
    <row r="523" spans="1:9" x14ac:dyDescent="0.35">
      <c r="A523" t="s">
        <v>565</v>
      </c>
      <c r="B523" s="4">
        <v>46093</v>
      </c>
      <c r="C523" s="3" t="s">
        <v>10</v>
      </c>
      <c r="D523" s="3" t="s">
        <v>11</v>
      </c>
      <c r="E523" t="s">
        <v>21</v>
      </c>
      <c r="F523" t="s">
        <v>22</v>
      </c>
      <c r="G523" s="3">
        <v>5</v>
      </c>
      <c r="H523">
        <v>29200</v>
      </c>
      <c r="I523">
        <v>146000</v>
      </c>
    </row>
    <row r="524" spans="1:9" x14ac:dyDescent="0.35">
      <c r="A524" t="s">
        <v>566</v>
      </c>
      <c r="B524" s="4">
        <v>46067</v>
      </c>
      <c r="C524" s="3" t="s">
        <v>20</v>
      </c>
      <c r="D524" s="3" t="s">
        <v>36</v>
      </c>
      <c r="E524" t="s">
        <v>21</v>
      </c>
      <c r="F524" t="s">
        <v>22</v>
      </c>
      <c r="G524" s="3">
        <v>7</v>
      </c>
      <c r="H524">
        <v>31000</v>
      </c>
      <c r="I524">
        <v>217000</v>
      </c>
    </row>
    <row r="525" spans="1:9" x14ac:dyDescent="0.35">
      <c r="A525" t="s">
        <v>567</v>
      </c>
      <c r="B525" s="4">
        <v>46154</v>
      </c>
      <c r="C525" s="3" t="s">
        <v>20</v>
      </c>
      <c r="D525" s="3" t="s">
        <v>16</v>
      </c>
      <c r="E525" t="s">
        <v>12</v>
      </c>
      <c r="F525" t="s">
        <v>13</v>
      </c>
      <c r="G525" s="3">
        <v>3</v>
      </c>
      <c r="H525">
        <v>2500</v>
      </c>
      <c r="I525">
        <v>7500</v>
      </c>
    </row>
    <row r="526" spans="1:9" x14ac:dyDescent="0.35">
      <c r="A526" t="s">
        <v>568</v>
      </c>
      <c r="B526" s="4">
        <v>46113</v>
      </c>
      <c r="C526" s="3" t="s">
        <v>46</v>
      </c>
      <c r="D526" s="3" t="s">
        <v>25</v>
      </c>
      <c r="E526" t="s">
        <v>61</v>
      </c>
      <c r="F526" t="s">
        <v>13</v>
      </c>
      <c r="G526" s="3">
        <v>3</v>
      </c>
      <c r="H526">
        <v>8600</v>
      </c>
      <c r="I526">
        <v>25800</v>
      </c>
    </row>
    <row r="527" spans="1:9" x14ac:dyDescent="0.35">
      <c r="A527" t="s">
        <v>569</v>
      </c>
      <c r="B527" s="4">
        <v>46084</v>
      </c>
      <c r="C527" s="3" t="s">
        <v>31</v>
      </c>
      <c r="D527" s="3" t="s">
        <v>25</v>
      </c>
      <c r="E527" t="s">
        <v>17</v>
      </c>
      <c r="F527" t="s">
        <v>18</v>
      </c>
      <c r="G527" s="3">
        <v>5</v>
      </c>
      <c r="H527">
        <v>37100</v>
      </c>
      <c r="I527">
        <v>185500</v>
      </c>
    </row>
    <row r="528" spans="1:9" x14ac:dyDescent="0.35">
      <c r="A528" t="s">
        <v>570</v>
      </c>
      <c r="B528" s="4">
        <v>46185</v>
      </c>
      <c r="C528" s="3" t="s">
        <v>31</v>
      </c>
      <c r="D528" s="3" t="s">
        <v>36</v>
      </c>
      <c r="E528" t="s">
        <v>26</v>
      </c>
      <c r="F528" t="s">
        <v>18</v>
      </c>
      <c r="G528" s="3">
        <v>3</v>
      </c>
      <c r="H528">
        <v>82200</v>
      </c>
      <c r="I528">
        <v>246600</v>
      </c>
    </row>
    <row r="529" spans="1:9" x14ac:dyDescent="0.35">
      <c r="A529" t="s">
        <v>571</v>
      </c>
      <c r="B529" s="4">
        <v>46094</v>
      </c>
      <c r="C529" s="3" t="s">
        <v>31</v>
      </c>
      <c r="D529" s="3" t="s">
        <v>11</v>
      </c>
      <c r="E529" t="s">
        <v>63</v>
      </c>
      <c r="F529" t="s">
        <v>55</v>
      </c>
      <c r="G529" s="3">
        <v>7</v>
      </c>
      <c r="H529">
        <v>34000</v>
      </c>
      <c r="I529">
        <v>238000</v>
      </c>
    </row>
    <row r="530" spans="1:9" x14ac:dyDescent="0.35">
      <c r="A530" t="s">
        <v>572</v>
      </c>
      <c r="B530" s="4">
        <v>46137</v>
      </c>
      <c r="C530" s="3" t="s">
        <v>31</v>
      </c>
      <c r="D530" s="3" t="s">
        <v>49</v>
      </c>
      <c r="E530" t="s">
        <v>21</v>
      </c>
      <c r="F530" t="s">
        <v>22</v>
      </c>
      <c r="G530" s="3">
        <v>7</v>
      </c>
      <c r="H530">
        <v>26900</v>
      </c>
      <c r="I530">
        <v>188300</v>
      </c>
    </row>
    <row r="531" spans="1:9" x14ac:dyDescent="0.35">
      <c r="A531" t="s">
        <v>573</v>
      </c>
      <c r="B531" s="4">
        <v>46093</v>
      </c>
      <c r="C531" s="3" t="s">
        <v>20</v>
      </c>
      <c r="D531" s="3" t="s">
        <v>36</v>
      </c>
      <c r="E531" t="s">
        <v>54</v>
      </c>
      <c r="F531" t="s">
        <v>55</v>
      </c>
      <c r="G531" s="3">
        <v>8</v>
      </c>
      <c r="H531">
        <v>22800</v>
      </c>
      <c r="I531">
        <v>182400</v>
      </c>
    </row>
    <row r="532" spans="1:9" x14ac:dyDescent="0.35">
      <c r="A532" t="s">
        <v>574</v>
      </c>
      <c r="B532" s="4">
        <v>46088</v>
      </c>
      <c r="C532" s="3" t="s">
        <v>29</v>
      </c>
      <c r="D532" s="3" t="s">
        <v>74</v>
      </c>
      <c r="E532" t="s">
        <v>61</v>
      </c>
      <c r="F532" t="s">
        <v>13</v>
      </c>
      <c r="G532" s="3">
        <v>3</v>
      </c>
      <c r="H532">
        <v>7700</v>
      </c>
      <c r="I532">
        <v>23100</v>
      </c>
    </row>
    <row r="533" spans="1:9" x14ac:dyDescent="0.35">
      <c r="A533" t="s">
        <v>575</v>
      </c>
      <c r="B533" s="4">
        <v>46140</v>
      </c>
      <c r="C533" s="3" t="s">
        <v>39</v>
      </c>
      <c r="D533" s="3" t="s">
        <v>49</v>
      </c>
      <c r="E533" t="s">
        <v>26</v>
      </c>
      <c r="F533" t="s">
        <v>18</v>
      </c>
      <c r="G533" s="3">
        <v>8</v>
      </c>
      <c r="H533">
        <v>77900</v>
      </c>
      <c r="I533">
        <v>623200</v>
      </c>
    </row>
    <row r="534" spans="1:9" x14ac:dyDescent="0.35">
      <c r="A534" t="s">
        <v>576</v>
      </c>
      <c r="B534" s="4">
        <v>46048</v>
      </c>
      <c r="C534" s="3" t="s">
        <v>39</v>
      </c>
      <c r="D534" s="3" t="s">
        <v>25</v>
      </c>
      <c r="E534" t="s">
        <v>63</v>
      </c>
      <c r="F534" t="s">
        <v>55</v>
      </c>
      <c r="G534" s="3">
        <v>7</v>
      </c>
      <c r="H534">
        <v>26900</v>
      </c>
      <c r="I534">
        <v>188300</v>
      </c>
    </row>
    <row r="535" spans="1:9" x14ac:dyDescent="0.35">
      <c r="A535" t="s">
        <v>577</v>
      </c>
      <c r="B535" s="4">
        <v>46043</v>
      </c>
      <c r="C535" s="3" t="s">
        <v>31</v>
      </c>
      <c r="D535" s="3" t="s">
        <v>49</v>
      </c>
      <c r="E535" t="s">
        <v>61</v>
      </c>
      <c r="F535" t="s">
        <v>13</v>
      </c>
      <c r="G535" s="3">
        <v>8</v>
      </c>
      <c r="H535">
        <v>8300</v>
      </c>
      <c r="I535">
        <v>66400</v>
      </c>
    </row>
    <row r="536" spans="1:9" x14ac:dyDescent="0.35">
      <c r="A536" t="s">
        <v>578</v>
      </c>
      <c r="B536" s="4">
        <v>46081</v>
      </c>
      <c r="C536" s="3" t="s">
        <v>29</v>
      </c>
      <c r="D536" s="3" t="s">
        <v>74</v>
      </c>
      <c r="E536" t="s">
        <v>54</v>
      </c>
      <c r="F536" t="s">
        <v>55</v>
      </c>
      <c r="G536" s="3">
        <v>3</v>
      </c>
      <c r="H536">
        <v>21600</v>
      </c>
      <c r="I536">
        <v>64800</v>
      </c>
    </row>
    <row r="537" spans="1:9" x14ac:dyDescent="0.35">
      <c r="A537" t="s">
        <v>579</v>
      </c>
      <c r="B537" s="4">
        <v>46184</v>
      </c>
      <c r="C537" s="3" t="s">
        <v>65</v>
      </c>
      <c r="D537" s="3" t="s">
        <v>36</v>
      </c>
      <c r="E537" t="s">
        <v>26</v>
      </c>
      <c r="F537" t="s">
        <v>18</v>
      </c>
      <c r="G537" s="3">
        <v>7</v>
      </c>
      <c r="H537">
        <v>75800</v>
      </c>
      <c r="I537">
        <v>530600</v>
      </c>
    </row>
    <row r="538" spans="1:9" x14ac:dyDescent="0.35">
      <c r="A538" t="s">
        <v>580</v>
      </c>
      <c r="B538" s="4">
        <v>46200</v>
      </c>
      <c r="C538" s="3" t="s">
        <v>20</v>
      </c>
      <c r="D538" s="3" t="s">
        <v>49</v>
      </c>
      <c r="E538" t="s">
        <v>17</v>
      </c>
      <c r="F538" t="s">
        <v>18</v>
      </c>
      <c r="G538" s="3">
        <v>3</v>
      </c>
      <c r="H538">
        <v>33200</v>
      </c>
      <c r="I538">
        <v>99600</v>
      </c>
    </row>
    <row r="539" spans="1:9" x14ac:dyDescent="0.35">
      <c r="A539" t="s">
        <v>581</v>
      </c>
      <c r="B539" s="4">
        <v>46160</v>
      </c>
      <c r="C539" s="3" t="s">
        <v>34</v>
      </c>
      <c r="D539" s="3" t="s">
        <v>11</v>
      </c>
      <c r="E539" t="s">
        <v>26</v>
      </c>
      <c r="F539" t="s">
        <v>18</v>
      </c>
      <c r="G539" s="3">
        <v>7</v>
      </c>
      <c r="H539">
        <v>72300</v>
      </c>
      <c r="I539">
        <v>506100</v>
      </c>
    </row>
    <row r="540" spans="1:9" x14ac:dyDescent="0.35">
      <c r="A540" t="s">
        <v>582</v>
      </c>
      <c r="B540" s="4">
        <v>46180</v>
      </c>
      <c r="C540" s="3" t="s">
        <v>15</v>
      </c>
      <c r="D540" s="3" t="s">
        <v>36</v>
      </c>
      <c r="E540" t="s">
        <v>32</v>
      </c>
      <c r="F540" t="s">
        <v>13</v>
      </c>
      <c r="G540" s="3">
        <v>2</v>
      </c>
      <c r="H540">
        <v>4100</v>
      </c>
      <c r="I540">
        <v>8200</v>
      </c>
    </row>
    <row r="541" spans="1:9" x14ac:dyDescent="0.35">
      <c r="A541" t="s">
        <v>583</v>
      </c>
      <c r="B541" s="4">
        <v>46042</v>
      </c>
      <c r="C541" s="3" t="s">
        <v>34</v>
      </c>
      <c r="D541" s="3" t="s">
        <v>49</v>
      </c>
      <c r="E541" t="s">
        <v>63</v>
      </c>
      <c r="F541" t="s">
        <v>55</v>
      </c>
      <c r="G541" s="3">
        <v>8</v>
      </c>
      <c r="H541">
        <v>27900</v>
      </c>
      <c r="I541">
        <v>223200</v>
      </c>
    </row>
    <row r="542" spans="1:9" x14ac:dyDescent="0.35">
      <c r="A542" t="s">
        <v>584</v>
      </c>
      <c r="B542" s="4">
        <v>46071</v>
      </c>
      <c r="C542" s="3" t="s">
        <v>15</v>
      </c>
      <c r="D542" s="3" t="s">
        <v>49</v>
      </c>
      <c r="E542" t="s">
        <v>63</v>
      </c>
      <c r="F542" t="s">
        <v>55</v>
      </c>
      <c r="G542" s="3">
        <v>6</v>
      </c>
      <c r="H542">
        <v>27500</v>
      </c>
      <c r="I542">
        <v>165000</v>
      </c>
    </row>
    <row r="543" spans="1:9" x14ac:dyDescent="0.35">
      <c r="A543" t="s">
        <v>585</v>
      </c>
      <c r="B543" s="4">
        <v>46200</v>
      </c>
      <c r="C543" s="3" t="s">
        <v>15</v>
      </c>
      <c r="D543" s="3" t="s">
        <v>25</v>
      </c>
      <c r="E543" t="s">
        <v>37</v>
      </c>
      <c r="F543" t="s">
        <v>18</v>
      </c>
      <c r="G543" s="3">
        <v>3</v>
      </c>
      <c r="H543">
        <v>49400</v>
      </c>
      <c r="I543">
        <v>148200</v>
      </c>
    </row>
    <row r="544" spans="1:9" x14ac:dyDescent="0.35">
      <c r="A544" t="s">
        <v>586</v>
      </c>
      <c r="B544" s="4">
        <v>46131</v>
      </c>
      <c r="C544" s="3" t="s">
        <v>20</v>
      </c>
      <c r="D544" s="3" t="s">
        <v>74</v>
      </c>
      <c r="E544" t="s">
        <v>17</v>
      </c>
      <c r="F544" t="s">
        <v>18</v>
      </c>
      <c r="G544" s="3">
        <v>5</v>
      </c>
      <c r="H544">
        <v>34400</v>
      </c>
      <c r="I544">
        <v>172000</v>
      </c>
    </row>
    <row r="545" spans="1:9" x14ac:dyDescent="0.35">
      <c r="A545" t="s">
        <v>587</v>
      </c>
      <c r="B545" s="4">
        <v>46135</v>
      </c>
      <c r="C545" s="3" t="s">
        <v>44</v>
      </c>
      <c r="D545" s="3" t="s">
        <v>11</v>
      </c>
      <c r="E545" t="s">
        <v>61</v>
      </c>
      <c r="F545" t="s">
        <v>13</v>
      </c>
      <c r="G545" s="3">
        <v>6</v>
      </c>
      <c r="H545">
        <v>7900</v>
      </c>
      <c r="I545">
        <v>47400</v>
      </c>
    </row>
    <row r="546" spans="1:9" x14ac:dyDescent="0.35">
      <c r="A546" t="s">
        <v>588</v>
      </c>
      <c r="B546" s="4">
        <v>46174</v>
      </c>
      <c r="C546" s="3" t="s">
        <v>10</v>
      </c>
      <c r="D546" s="3" t="s">
        <v>49</v>
      </c>
      <c r="E546" t="s">
        <v>54</v>
      </c>
      <c r="F546" t="s">
        <v>55</v>
      </c>
      <c r="G546" s="3">
        <v>8</v>
      </c>
      <c r="H546">
        <v>21800</v>
      </c>
      <c r="I546">
        <v>174400</v>
      </c>
    </row>
    <row r="547" spans="1:9" x14ac:dyDescent="0.35">
      <c r="A547" t="s">
        <v>589</v>
      </c>
      <c r="B547" s="4">
        <v>46102</v>
      </c>
      <c r="C547" s="3" t="s">
        <v>39</v>
      </c>
      <c r="D547" s="3" t="s">
        <v>25</v>
      </c>
      <c r="E547" t="s">
        <v>12</v>
      </c>
      <c r="F547" t="s">
        <v>13</v>
      </c>
      <c r="G547" s="3">
        <v>8</v>
      </c>
      <c r="H547">
        <v>2400</v>
      </c>
      <c r="I547">
        <v>19200</v>
      </c>
    </row>
    <row r="548" spans="1:9" x14ac:dyDescent="0.35">
      <c r="A548" t="s">
        <v>590</v>
      </c>
      <c r="B548" s="4">
        <v>46173</v>
      </c>
      <c r="C548" s="3" t="s">
        <v>44</v>
      </c>
      <c r="D548" s="3" t="s">
        <v>49</v>
      </c>
      <c r="E548" t="s">
        <v>12</v>
      </c>
      <c r="F548" t="s">
        <v>13</v>
      </c>
      <c r="G548" s="3">
        <v>4</v>
      </c>
      <c r="H548">
        <v>2700</v>
      </c>
      <c r="I548">
        <v>10800</v>
      </c>
    </row>
    <row r="549" spans="1:9" x14ac:dyDescent="0.35">
      <c r="A549" t="s">
        <v>591</v>
      </c>
      <c r="B549" s="4">
        <v>46204</v>
      </c>
      <c r="C549" s="3" t="s">
        <v>46</v>
      </c>
      <c r="D549" s="3" t="s">
        <v>11</v>
      </c>
      <c r="E549" t="s">
        <v>40</v>
      </c>
      <c r="F549" t="s">
        <v>13</v>
      </c>
      <c r="G549" s="3">
        <v>3</v>
      </c>
      <c r="H549">
        <v>5800</v>
      </c>
      <c r="I549">
        <v>17400</v>
      </c>
    </row>
    <row r="550" spans="1:9" x14ac:dyDescent="0.35">
      <c r="A550" t="s">
        <v>592</v>
      </c>
      <c r="B550" s="4">
        <v>46130</v>
      </c>
      <c r="C550" s="3" t="s">
        <v>65</v>
      </c>
      <c r="D550" s="3" t="s">
        <v>11</v>
      </c>
      <c r="E550" t="s">
        <v>17</v>
      </c>
      <c r="F550" t="s">
        <v>18</v>
      </c>
      <c r="G550" s="3">
        <v>5</v>
      </c>
      <c r="H550">
        <v>33800</v>
      </c>
      <c r="I550">
        <v>169000</v>
      </c>
    </row>
    <row r="551" spans="1:9" x14ac:dyDescent="0.35">
      <c r="A551" t="s">
        <v>593</v>
      </c>
      <c r="B551" s="4">
        <v>46082</v>
      </c>
      <c r="C551" s="3" t="s">
        <v>29</v>
      </c>
      <c r="D551" s="3" t="s">
        <v>11</v>
      </c>
      <c r="E551" t="s">
        <v>61</v>
      </c>
      <c r="F551" t="s">
        <v>13</v>
      </c>
      <c r="G551" s="3">
        <v>5</v>
      </c>
      <c r="H551">
        <v>7500</v>
      </c>
      <c r="I551">
        <v>37500</v>
      </c>
    </row>
    <row r="552" spans="1:9" x14ac:dyDescent="0.35">
      <c r="A552" t="s">
        <v>594</v>
      </c>
      <c r="B552" s="4">
        <v>46189</v>
      </c>
      <c r="C552" s="3" t="s">
        <v>10</v>
      </c>
      <c r="D552" s="3" t="s">
        <v>74</v>
      </c>
      <c r="E552" t="s">
        <v>37</v>
      </c>
      <c r="F552" t="s">
        <v>18</v>
      </c>
      <c r="G552" s="3">
        <v>3</v>
      </c>
      <c r="H552">
        <v>58900</v>
      </c>
      <c r="I552">
        <v>176700</v>
      </c>
    </row>
    <row r="553" spans="1:9" x14ac:dyDescent="0.35">
      <c r="A553" t="s">
        <v>595</v>
      </c>
      <c r="B553" s="4">
        <v>46141</v>
      </c>
      <c r="C553" s="3" t="s">
        <v>44</v>
      </c>
      <c r="D553" s="3" t="s">
        <v>25</v>
      </c>
      <c r="E553" t="s">
        <v>54</v>
      </c>
      <c r="F553" t="s">
        <v>55</v>
      </c>
      <c r="G553" s="3">
        <v>1</v>
      </c>
      <c r="H553">
        <v>25000</v>
      </c>
      <c r="I553">
        <v>25000</v>
      </c>
    </row>
    <row r="554" spans="1:9" x14ac:dyDescent="0.35">
      <c r="A554" t="s">
        <v>596</v>
      </c>
      <c r="B554" s="4">
        <v>46062</v>
      </c>
      <c r="C554" s="3" t="s">
        <v>65</v>
      </c>
      <c r="D554" s="3" t="s">
        <v>11</v>
      </c>
      <c r="E554" t="s">
        <v>17</v>
      </c>
      <c r="F554" t="s">
        <v>18</v>
      </c>
      <c r="G554" s="3">
        <v>5</v>
      </c>
      <c r="H554">
        <v>34700</v>
      </c>
      <c r="I554">
        <v>173500</v>
      </c>
    </row>
    <row r="555" spans="1:9" x14ac:dyDescent="0.35">
      <c r="A555" t="s">
        <v>597</v>
      </c>
      <c r="B555" s="4">
        <v>46076</v>
      </c>
      <c r="C555" s="3" t="s">
        <v>44</v>
      </c>
      <c r="D555" s="3" t="s">
        <v>49</v>
      </c>
      <c r="E555" t="s">
        <v>32</v>
      </c>
      <c r="F555" t="s">
        <v>13</v>
      </c>
      <c r="G555" s="3">
        <v>5</v>
      </c>
      <c r="H555">
        <v>4200</v>
      </c>
      <c r="I555">
        <v>21000</v>
      </c>
    </row>
    <row r="556" spans="1:9" x14ac:dyDescent="0.35">
      <c r="A556" t="s">
        <v>598</v>
      </c>
      <c r="B556" s="4">
        <v>46101</v>
      </c>
      <c r="C556" s="3" t="s">
        <v>51</v>
      </c>
      <c r="D556" s="3" t="s">
        <v>49</v>
      </c>
      <c r="E556" t="s">
        <v>12</v>
      </c>
      <c r="F556" t="s">
        <v>13</v>
      </c>
      <c r="G556" s="3">
        <v>6</v>
      </c>
      <c r="H556">
        <v>2300</v>
      </c>
      <c r="I556">
        <v>13800</v>
      </c>
    </row>
    <row r="557" spans="1:9" x14ac:dyDescent="0.35">
      <c r="A557" t="s">
        <v>599</v>
      </c>
      <c r="B557" s="4">
        <v>46078</v>
      </c>
      <c r="C557" s="3" t="s">
        <v>29</v>
      </c>
      <c r="D557" s="3" t="s">
        <v>25</v>
      </c>
      <c r="E557" t="s">
        <v>21</v>
      </c>
      <c r="F557" t="s">
        <v>22</v>
      </c>
      <c r="G557" s="3">
        <v>1</v>
      </c>
      <c r="H557">
        <v>31100</v>
      </c>
      <c r="I557">
        <v>31100</v>
      </c>
    </row>
    <row r="558" spans="1:9" x14ac:dyDescent="0.35">
      <c r="A558" t="s">
        <v>600</v>
      </c>
      <c r="B558" s="4">
        <v>46160</v>
      </c>
      <c r="C558" s="3" t="s">
        <v>10</v>
      </c>
      <c r="D558" s="3" t="s">
        <v>74</v>
      </c>
      <c r="E558" t="s">
        <v>61</v>
      </c>
      <c r="F558" t="s">
        <v>13</v>
      </c>
      <c r="G558" s="3">
        <v>4</v>
      </c>
      <c r="H558">
        <v>7300</v>
      </c>
      <c r="I558">
        <v>29200</v>
      </c>
    </row>
    <row r="559" spans="1:9" x14ac:dyDescent="0.35">
      <c r="A559" t="s">
        <v>601</v>
      </c>
      <c r="B559" s="4">
        <v>46077</v>
      </c>
      <c r="C559" s="3" t="s">
        <v>39</v>
      </c>
      <c r="D559" s="3" t="s">
        <v>16</v>
      </c>
      <c r="E559" t="s">
        <v>26</v>
      </c>
      <c r="F559" t="s">
        <v>18</v>
      </c>
      <c r="G559" s="3">
        <v>6</v>
      </c>
      <c r="H559">
        <v>80100</v>
      </c>
      <c r="I559">
        <v>480600</v>
      </c>
    </row>
    <row r="560" spans="1:9" x14ac:dyDescent="0.35">
      <c r="A560" t="s">
        <v>602</v>
      </c>
      <c r="B560" s="4">
        <v>46153</v>
      </c>
      <c r="C560" s="3" t="s">
        <v>29</v>
      </c>
      <c r="D560" s="3" t="s">
        <v>25</v>
      </c>
      <c r="E560" t="s">
        <v>61</v>
      </c>
      <c r="F560" t="s">
        <v>13</v>
      </c>
      <c r="G560" s="3">
        <v>3</v>
      </c>
      <c r="H560">
        <v>6900</v>
      </c>
      <c r="I560">
        <v>20700</v>
      </c>
    </row>
    <row r="561" spans="1:9" x14ac:dyDescent="0.35">
      <c r="A561" t="s">
        <v>603</v>
      </c>
      <c r="B561" s="4">
        <v>46058</v>
      </c>
      <c r="C561" s="3" t="s">
        <v>44</v>
      </c>
      <c r="D561" s="3" t="s">
        <v>49</v>
      </c>
      <c r="E561" t="s">
        <v>37</v>
      </c>
      <c r="F561" t="s">
        <v>18</v>
      </c>
      <c r="G561" s="3">
        <v>1</v>
      </c>
      <c r="H561">
        <v>47500</v>
      </c>
      <c r="I561">
        <v>47500</v>
      </c>
    </row>
    <row r="562" spans="1:9" x14ac:dyDescent="0.35">
      <c r="A562" t="s">
        <v>604</v>
      </c>
      <c r="B562" s="4">
        <v>46195</v>
      </c>
      <c r="C562" s="3" t="s">
        <v>44</v>
      </c>
      <c r="D562" s="3" t="s">
        <v>11</v>
      </c>
      <c r="E562" t="s">
        <v>54</v>
      </c>
      <c r="F562" t="s">
        <v>55</v>
      </c>
      <c r="G562" s="3">
        <v>2</v>
      </c>
      <c r="H562">
        <v>21700</v>
      </c>
      <c r="I562">
        <v>43400</v>
      </c>
    </row>
    <row r="563" spans="1:9" x14ac:dyDescent="0.35">
      <c r="A563" t="s">
        <v>605</v>
      </c>
      <c r="B563" s="4">
        <v>46134</v>
      </c>
      <c r="C563" s="3" t="s">
        <v>29</v>
      </c>
      <c r="D563" s="3" t="s">
        <v>36</v>
      </c>
      <c r="E563" t="s">
        <v>32</v>
      </c>
      <c r="F563" t="s">
        <v>13</v>
      </c>
      <c r="G563" s="3">
        <v>8</v>
      </c>
      <c r="H563">
        <v>5100</v>
      </c>
      <c r="I563">
        <v>40800</v>
      </c>
    </row>
    <row r="564" spans="1:9" x14ac:dyDescent="0.35">
      <c r="A564" t="s">
        <v>606</v>
      </c>
      <c r="B564" s="4">
        <v>46202</v>
      </c>
      <c r="C564" s="3" t="s">
        <v>44</v>
      </c>
      <c r="D564" s="3" t="s">
        <v>74</v>
      </c>
      <c r="E564" t="s">
        <v>32</v>
      </c>
      <c r="F564" t="s">
        <v>13</v>
      </c>
      <c r="G564" s="3">
        <v>3</v>
      </c>
      <c r="H564">
        <v>4400</v>
      </c>
      <c r="I564">
        <v>13200</v>
      </c>
    </row>
    <row r="565" spans="1:9" x14ac:dyDescent="0.35">
      <c r="A565" t="s">
        <v>607</v>
      </c>
      <c r="B565" s="4">
        <v>46121</v>
      </c>
      <c r="C565" s="3" t="s">
        <v>10</v>
      </c>
      <c r="D565" s="3" t="s">
        <v>49</v>
      </c>
      <c r="E565" t="s">
        <v>21</v>
      </c>
      <c r="F565" t="s">
        <v>22</v>
      </c>
      <c r="G565" s="3">
        <v>2</v>
      </c>
      <c r="H565">
        <v>28500</v>
      </c>
      <c r="I565">
        <v>57000</v>
      </c>
    </row>
    <row r="566" spans="1:9" x14ac:dyDescent="0.35">
      <c r="A566" t="s">
        <v>608</v>
      </c>
      <c r="B566" s="4">
        <v>46144</v>
      </c>
      <c r="C566" s="3" t="s">
        <v>31</v>
      </c>
      <c r="D566" s="3" t="s">
        <v>11</v>
      </c>
      <c r="E566" t="s">
        <v>37</v>
      </c>
      <c r="F566" t="s">
        <v>18</v>
      </c>
      <c r="G566" s="3">
        <v>7</v>
      </c>
      <c r="H566">
        <v>53000</v>
      </c>
      <c r="I566">
        <v>371000</v>
      </c>
    </row>
    <row r="567" spans="1:9" x14ac:dyDescent="0.35">
      <c r="A567" t="s">
        <v>609</v>
      </c>
      <c r="B567" s="4">
        <v>46141</v>
      </c>
      <c r="C567" s="3" t="s">
        <v>29</v>
      </c>
      <c r="D567" s="3" t="s">
        <v>16</v>
      </c>
      <c r="E567" t="s">
        <v>21</v>
      </c>
      <c r="F567" t="s">
        <v>22</v>
      </c>
      <c r="G567" s="3">
        <v>5</v>
      </c>
      <c r="H567">
        <v>28700</v>
      </c>
      <c r="I567">
        <v>143500</v>
      </c>
    </row>
    <row r="568" spans="1:9" x14ac:dyDescent="0.35">
      <c r="A568" t="s">
        <v>610</v>
      </c>
      <c r="B568" s="4">
        <v>46192</v>
      </c>
      <c r="C568" s="3" t="s">
        <v>10</v>
      </c>
      <c r="D568" s="3" t="s">
        <v>49</v>
      </c>
      <c r="E568" t="s">
        <v>21</v>
      </c>
      <c r="F568" t="s">
        <v>22</v>
      </c>
      <c r="G568" s="3">
        <v>2</v>
      </c>
      <c r="H568">
        <v>24500</v>
      </c>
      <c r="I568">
        <v>49000</v>
      </c>
    </row>
    <row r="569" spans="1:9" x14ac:dyDescent="0.35">
      <c r="A569" t="s">
        <v>611</v>
      </c>
      <c r="B569" s="4">
        <v>46123</v>
      </c>
      <c r="C569" s="3" t="s">
        <v>24</v>
      </c>
      <c r="D569" s="3" t="s">
        <v>16</v>
      </c>
      <c r="E569" t="s">
        <v>40</v>
      </c>
      <c r="F569" t="s">
        <v>13</v>
      </c>
      <c r="G569" s="3">
        <v>8</v>
      </c>
      <c r="H569">
        <v>5600</v>
      </c>
      <c r="I569">
        <v>44800</v>
      </c>
    </row>
    <row r="570" spans="1:9" x14ac:dyDescent="0.35">
      <c r="A570" t="s">
        <v>612</v>
      </c>
      <c r="B570" s="4">
        <v>46067</v>
      </c>
      <c r="C570" s="3" t="s">
        <v>46</v>
      </c>
      <c r="D570" s="3" t="s">
        <v>25</v>
      </c>
      <c r="E570" t="s">
        <v>37</v>
      </c>
      <c r="F570" t="s">
        <v>18</v>
      </c>
      <c r="G570" s="3">
        <v>6</v>
      </c>
      <c r="H570">
        <v>62200</v>
      </c>
      <c r="I570">
        <v>373200</v>
      </c>
    </row>
    <row r="571" spans="1:9" x14ac:dyDescent="0.35">
      <c r="A571" t="s">
        <v>613</v>
      </c>
      <c r="B571" s="4">
        <v>46082</v>
      </c>
      <c r="C571" s="3" t="s">
        <v>65</v>
      </c>
      <c r="D571" s="3" t="s">
        <v>11</v>
      </c>
      <c r="E571" t="s">
        <v>61</v>
      </c>
      <c r="F571" t="s">
        <v>13</v>
      </c>
      <c r="G571" s="3">
        <v>1</v>
      </c>
      <c r="H571">
        <v>9000</v>
      </c>
      <c r="I571">
        <v>9000</v>
      </c>
    </row>
    <row r="572" spans="1:9" x14ac:dyDescent="0.35">
      <c r="A572" t="s">
        <v>614</v>
      </c>
      <c r="B572" s="4">
        <v>46195</v>
      </c>
      <c r="C572" s="3" t="s">
        <v>15</v>
      </c>
      <c r="D572" s="3" t="s">
        <v>74</v>
      </c>
      <c r="E572" t="s">
        <v>26</v>
      </c>
      <c r="F572" t="s">
        <v>18</v>
      </c>
      <c r="G572" s="3">
        <v>2</v>
      </c>
      <c r="H572">
        <v>78100</v>
      </c>
      <c r="I572">
        <v>156200</v>
      </c>
    </row>
    <row r="573" spans="1:9" x14ac:dyDescent="0.35">
      <c r="A573" t="s">
        <v>615</v>
      </c>
      <c r="B573" s="4">
        <v>46171</v>
      </c>
      <c r="C573" s="3" t="s">
        <v>39</v>
      </c>
      <c r="D573" s="3" t="s">
        <v>16</v>
      </c>
      <c r="E573" t="s">
        <v>37</v>
      </c>
      <c r="F573" t="s">
        <v>18</v>
      </c>
      <c r="G573" s="3">
        <v>4</v>
      </c>
      <c r="H573">
        <v>51800</v>
      </c>
      <c r="I573">
        <v>207200</v>
      </c>
    </row>
    <row r="574" spans="1:9" x14ac:dyDescent="0.35">
      <c r="A574" t="s">
        <v>616</v>
      </c>
      <c r="B574" s="4">
        <v>46079</v>
      </c>
      <c r="C574" s="3" t="s">
        <v>44</v>
      </c>
      <c r="D574" s="3" t="s">
        <v>11</v>
      </c>
      <c r="E574" t="s">
        <v>32</v>
      </c>
      <c r="F574" t="s">
        <v>13</v>
      </c>
      <c r="G574" s="3">
        <v>1</v>
      </c>
      <c r="H574">
        <v>4200</v>
      </c>
      <c r="I574">
        <v>4200</v>
      </c>
    </row>
    <row r="575" spans="1:9" x14ac:dyDescent="0.35">
      <c r="A575" t="s">
        <v>617</v>
      </c>
      <c r="B575" s="4">
        <v>46088</v>
      </c>
      <c r="C575" s="3" t="s">
        <v>20</v>
      </c>
      <c r="D575" s="3" t="s">
        <v>25</v>
      </c>
      <c r="E575" t="s">
        <v>63</v>
      </c>
      <c r="F575" t="s">
        <v>55</v>
      </c>
      <c r="G575" s="3">
        <v>2</v>
      </c>
      <c r="H575">
        <v>29300</v>
      </c>
      <c r="I575">
        <v>58600</v>
      </c>
    </row>
    <row r="576" spans="1:9" x14ac:dyDescent="0.35">
      <c r="A576" t="s">
        <v>618</v>
      </c>
      <c r="B576" s="4">
        <v>46056</v>
      </c>
      <c r="C576" s="3" t="s">
        <v>34</v>
      </c>
      <c r="D576" s="3" t="s">
        <v>11</v>
      </c>
      <c r="E576" t="s">
        <v>21</v>
      </c>
      <c r="F576" t="s">
        <v>22</v>
      </c>
      <c r="G576" s="3">
        <v>4</v>
      </c>
      <c r="H576">
        <v>26000</v>
      </c>
      <c r="I576">
        <v>104000</v>
      </c>
    </row>
    <row r="577" spans="1:9" x14ac:dyDescent="0.35">
      <c r="A577" t="s">
        <v>619</v>
      </c>
      <c r="B577" s="4">
        <v>46027</v>
      </c>
      <c r="C577" s="3" t="s">
        <v>39</v>
      </c>
      <c r="D577" s="3" t="s">
        <v>49</v>
      </c>
      <c r="E577" t="s">
        <v>63</v>
      </c>
      <c r="F577" t="s">
        <v>55</v>
      </c>
      <c r="G577" s="3">
        <v>5</v>
      </c>
      <c r="H577">
        <v>29800</v>
      </c>
      <c r="I577">
        <v>149000</v>
      </c>
    </row>
    <row r="578" spans="1:9" x14ac:dyDescent="0.35">
      <c r="A578" t="s">
        <v>620</v>
      </c>
      <c r="B578" s="4">
        <v>46062</v>
      </c>
      <c r="C578" s="3" t="s">
        <v>15</v>
      </c>
      <c r="D578" s="3" t="s">
        <v>49</v>
      </c>
      <c r="E578" t="s">
        <v>54</v>
      </c>
      <c r="F578" t="s">
        <v>55</v>
      </c>
      <c r="G578" s="3">
        <v>8</v>
      </c>
      <c r="H578">
        <v>23800</v>
      </c>
      <c r="I578">
        <v>190400</v>
      </c>
    </row>
    <row r="579" spans="1:9" x14ac:dyDescent="0.35">
      <c r="A579" t="s">
        <v>621</v>
      </c>
      <c r="B579" s="4">
        <v>46202</v>
      </c>
      <c r="C579" s="3" t="s">
        <v>20</v>
      </c>
      <c r="D579" s="3" t="s">
        <v>25</v>
      </c>
      <c r="E579" t="s">
        <v>12</v>
      </c>
      <c r="F579" t="s">
        <v>13</v>
      </c>
      <c r="G579" s="3">
        <v>5</v>
      </c>
      <c r="H579">
        <v>2700</v>
      </c>
      <c r="I579">
        <v>13500</v>
      </c>
    </row>
    <row r="580" spans="1:9" x14ac:dyDescent="0.35">
      <c r="A580" t="s">
        <v>623</v>
      </c>
      <c r="B580" s="4">
        <v>46104</v>
      </c>
      <c r="C580" s="3" t="s">
        <v>10</v>
      </c>
      <c r="D580" s="3" t="s">
        <v>11</v>
      </c>
      <c r="E580" t="s">
        <v>21</v>
      </c>
      <c r="F580" t="s">
        <v>22</v>
      </c>
      <c r="G580" s="3">
        <v>3</v>
      </c>
      <c r="H580">
        <v>31900</v>
      </c>
      <c r="I580">
        <v>95700</v>
      </c>
    </row>
    <row r="581" spans="1:9" x14ac:dyDescent="0.35">
      <c r="A581" t="s">
        <v>624</v>
      </c>
      <c r="B581" s="4">
        <v>46040</v>
      </c>
      <c r="C581" s="3" t="s">
        <v>20</v>
      </c>
      <c r="D581" s="3" t="s">
        <v>36</v>
      </c>
      <c r="E581" t="s">
        <v>54</v>
      </c>
      <c r="F581" t="s">
        <v>55</v>
      </c>
      <c r="G581" s="3">
        <v>1</v>
      </c>
      <c r="H581">
        <v>24900</v>
      </c>
      <c r="I581">
        <v>24900</v>
      </c>
    </row>
    <row r="582" spans="1:9" x14ac:dyDescent="0.35">
      <c r="A582" t="s">
        <v>625</v>
      </c>
      <c r="B582" s="4">
        <v>46115</v>
      </c>
      <c r="C582" s="3" t="s">
        <v>31</v>
      </c>
      <c r="D582" s="3" t="s">
        <v>16</v>
      </c>
      <c r="E582" t="s">
        <v>54</v>
      </c>
      <c r="F582" t="s">
        <v>55</v>
      </c>
      <c r="G582" s="3">
        <v>8</v>
      </c>
      <c r="H582">
        <v>19700</v>
      </c>
      <c r="I582">
        <v>157600</v>
      </c>
    </row>
    <row r="583" spans="1:9" x14ac:dyDescent="0.35">
      <c r="A583" t="s">
        <v>626</v>
      </c>
      <c r="B583" s="4">
        <v>46045</v>
      </c>
      <c r="C583" s="3" t="s">
        <v>29</v>
      </c>
      <c r="D583" s="3" t="s">
        <v>49</v>
      </c>
      <c r="E583" t="s">
        <v>61</v>
      </c>
      <c r="F583" t="s">
        <v>13</v>
      </c>
      <c r="G583" s="3">
        <v>3</v>
      </c>
      <c r="H583">
        <v>8300</v>
      </c>
      <c r="I583">
        <v>24900</v>
      </c>
    </row>
    <row r="584" spans="1:9" x14ac:dyDescent="0.35">
      <c r="A584" t="s">
        <v>627</v>
      </c>
      <c r="B584" s="4">
        <v>46121</v>
      </c>
      <c r="C584" s="3" t="s">
        <v>51</v>
      </c>
      <c r="D584" s="3" t="s">
        <v>74</v>
      </c>
      <c r="E584" t="s">
        <v>32</v>
      </c>
      <c r="F584" t="s">
        <v>13</v>
      </c>
      <c r="G584" s="3">
        <v>7</v>
      </c>
      <c r="H584">
        <v>4600</v>
      </c>
      <c r="I584">
        <v>32200</v>
      </c>
    </row>
    <row r="585" spans="1:9" x14ac:dyDescent="0.35">
      <c r="A585" t="s">
        <v>628</v>
      </c>
      <c r="B585" s="4">
        <v>46060</v>
      </c>
      <c r="C585" s="3" t="s">
        <v>46</v>
      </c>
      <c r="D585" s="3" t="s">
        <v>11</v>
      </c>
      <c r="E585" t="s">
        <v>63</v>
      </c>
      <c r="F585" t="s">
        <v>55</v>
      </c>
      <c r="G585" s="3">
        <v>5</v>
      </c>
      <c r="H585">
        <v>29700</v>
      </c>
      <c r="I585">
        <v>148500</v>
      </c>
    </row>
    <row r="586" spans="1:9" x14ac:dyDescent="0.35">
      <c r="A586" t="s">
        <v>629</v>
      </c>
      <c r="B586" s="4">
        <v>46183</v>
      </c>
      <c r="C586" s="3" t="s">
        <v>29</v>
      </c>
      <c r="D586" s="3" t="s">
        <v>11</v>
      </c>
      <c r="E586" t="s">
        <v>32</v>
      </c>
      <c r="F586" t="s">
        <v>13</v>
      </c>
      <c r="G586" s="3">
        <v>4</v>
      </c>
      <c r="H586">
        <v>4200</v>
      </c>
      <c r="I586">
        <v>16800</v>
      </c>
    </row>
    <row r="587" spans="1:9" x14ac:dyDescent="0.35">
      <c r="A587" t="s">
        <v>630</v>
      </c>
      <c r="B587" s="4">
        <v>46055</v>
      </c>
      <c r="C587" s="3" t="s">
        <v>15</v>
      </c>
      <c r="D587" s="3" t="s">
        <v>74</v>
      </c>
      <c r="E587" t="s">
        <v>37</v>
      </c>
      <c r="F587" t="s">
        <v>18</v>
      </c>
      <c r="G587" s="3">
        <v>1</v>
      </c>
      <c r="H587">
        <v>50800</v>
      </c>
      <c r="I587">
        <v>50800</v>
      </c>
    </row>
    <row r="588" spans="1:9" x14ac:dyDescent="0.35">
      <c r="A588" t="s">
        <v>631</v>
      </c>
      <c r="B588" s="4">
        <v>46040</v>
      </c>
      <c r="C588" s="3" t="s">
        <v>29</v>
      </c>
      <c r="D588" s="3" t="s">
        <v>74</v>
      </c>
      <c r="E588" t="s">
        <v>37</v>
      </c>
      <c r="F588" t="s">
        <v>18</v>
      </c>
      <c r="G588" s="3">
        <v>1</v>
      </c>
      <c r="H588">
        <v>50700</v>
      </c>
      <c r="I588">
        <v>50700</v>
      </c>
    </row>
    <row r="589" spans="1:9" x14ac:dyDescent="0.35">
      <c r="A589" t="s">
        <v>632</v>
      </c>
      <c r="B589" s="4">
        <v>46136</v>
      </c>
      <c r="C589" s="3" t="s">
        <v>65</v>
      </c>
      <c r="D589" s="3" t="s">
        <v>36</v>
      </c>
      <c r="E589" t="s">
        <v>32</v>
      </c>
      <c r="F589" t="s">
        <v>13</v>
      </c>
      <c r="G589" s="3">
        <v>7</v>
      </c>
      <c r="H589">
        <v>4700</v>
      </c>
      <c r="I589">
        <v>32900</v>
      </c>
    </row>
    <row r="590" spans="1:9" x14ac:dyDescent="0.35">
      <c r="A590" t="s">
        <v>633</v>
      </c>
      <c r="B590" s="4">
        <v>46129</v>
      </c>
      <c r="C590" s="3" t="s">
        <v>20</v>
      </c>
      <c r="D590" s="3" t="s">
        <v>16</v>
      </c>
      <c r="E590" t="s">
        <v>26</v>
      </c>
      <c r="F590" t="s">
        <v>18</v>
      </c>
      <c r="G590" s="3">
        <v>1</v>
      </c>
      <c r="H590">
        <v>89800</v>
      </c>
      <c r="I590">
        <v>89800</v>
      </c>
    </row>
    <row r="591" spans="1:9" x14ac:dyDescent="0.35">
      <c r="A591" t="s">
        <v>634</v>
      </c>
      <c r="B591" s="4">
        <v>46050</v>
      </c>
      <c r="C591" s="3" t="s">
        <v>65</v>
      </c>
      <c r="D591" s="3" t="s">
        <v>25</v>
      </c>
      <c r="E591" t="s">
        <v>37</v>
      </c>
      <c r="F591" t="s">
        <v>18</v>
      </c>
      <c r="G591" s="3">
        <v>6</v>
      </c>
      <c r="H591">
        <v>60000</v>
      </c>
      <c r="I591">
        <v>360000</v>
      </c>
    </row>
    <row r="592" spans="1:9" x14ac:dyDescent="0.35">
      <c r="A592" t="s">
        <v>635</v>
      </c>
      <c r="B592" s="4">
        <v>46083</v>
      </c>
      <c r="C592" s="3" t="s">
        <v>34</v>
      </c>
      <c r="D592" s="3" t="s">
        <v>11</v>
      </c>
      <c r="E592" t="s">
        <v>54</v>
      </c>
      <c r="F592" t="s">
        <v>55</v>
      </c>
      <c r="G592" s="3">
        <v>1</v>
      </c>
      <c r="H592">
        <v>22800</v>
      </c>
      <c r="I592">
        <v>22800</v>
      </c>
    </row>
    <row r="593" spans="1:9" x14ac:dyDescent="0.35">
      <c r="A593" t="s">
        <v>636</v>
      </c>
      <c r="B593" s="4">
        <v>46126</v>
      </c>
      <c r="C593" s="3" t="s">
        <v>31</v>
      </c>
      <c r="D593" s="3" t="s">
        <v>49</v>
      </c>
      <c r="E593" t="s">
        <v>37</v>
      </c>
      <c r="F593" t="s">
        <v>18</v>
      </c>
      <c r="G593" s="3">
        <v>7</v>
      </c>
      <c r="H593">
        <v>51500</v>
      </c>
      <c r="I593">
        <v>360500</v>
      </c>
    </row>
    <row r="594" spans="1:9" x14ac:dyDescent="0.35">
      <c r="A594" t="s">
        <v>637</v>
      </c>
      <c r="B594" s="4">
        <v>46140</v>
      </c>
      <c r="C594" s="3" t="s">
        <v>39</v>
      </c>
      <c r="D594" s="3" t="s">
        <v>25</v>
      </c>
      <c r="E594" t="s">
        <v>63</v>
      </c>
      <c r="F594" t="s">
        <v>55</v>
      </c>
      <c r="G594" s="3">
        <v>3</v>
      </c>
      <c r="H594">
        <v>26300</v>
      </c>
      <c r="I594">
        <v>78900</v>
      </c>
    </row>
    <row r="595" spans="1:9" x14ac:dyDescent="0.35">
      <c r="A595" t="s">
        <v>638</v>
      </c>
      <c r="B595" s="4">
        <v>46084</v>
      </c>
      <c r="C595" s="3" t="s">
        <v>31</v>
      </c>
      <c r="D595" s="3" t="s">
        <v>74</v>
      </c>
      <c r="E595" t="s">
        <v>40</v>
      </c>
      <c r="F595" t="s">
        <v>13</v>
      </c>
      <c r="G595" s="3">
        <v>4</v>
      </c>
      <c r="H595">
        <v>5800</v>
      </c>
      <c r="I595">
        <v>23200</v>
      </c>
    </row>
    <row r="596" spans="1:9" x14ac:dyDescent="0.35">
      <c r="A596" t="s">
        <v>639</v>
      </c>
      <c r="B596" s="4">
        <v>46105</v>
      </c>
      <c r="C596" s="3" t="s">
        <v>15</v>
      </c>
      <c r="D596" s="3" t="s">
        <v>36</v>
      </c>
      <c r="E596" t="s">
        <v>61</v>
      </c>
      <c r="F596" t="s">
        <v>13</v>
      </c>
      <c r="G596" s="3">
        <v>3</v>
      </c>
      <c r="H596">
        <v>6900</v>
      </c>
      <c r="I596">
        <v>20700</v>
      </c>
    </row>
    <row r="597" spans="1:9" x14ac:dyDescent="0.35">
      <c r="A597" t="s">
        <v>640</v>
      </c>
      <c r="B597" s="4">
        <v>46170</v>
      </c>
      <c r="C597" s="3" t="s">
        <v>10</v>
      </c>
      <c r="D597" s="3" t="s">
        <v>16</v>
      </c>
      <c r="E597" t="s">
        <v>21</v>
      </c>
      <c r="F597" t="s">
        <v>22</v>
      </c>
      <c r="G597" s="3">
        <v>6</v>
      </c>
      <c r="H597">
        <v>27900</v>
      </c>
      <c r="I597">
        <v>167400</v>
      </c>
    </row>
    <row r="598" spans="1:9" x14ac:dyDescent="0.35">
      <c r="A598" t="s">
        <v>641</v>
      </c>
      <c r="B598" s="4">
        <v>46103</v>
      </c>
      <c r="C598" s="3" t="s">
        <v>10</v>
      </c>
      <c r="D598" s="3" t="s">
        <v>49</v>
      </c>
      <c r="E598" t="s">
        <v>37</v>
      </c>
      <c r="F598" t="s">
        <v>18</v>
      </c>
      <c r="G598" s="3">
        <v>1</v>
      </c>
      <c r="H598">
        <v>54300</v>
      </c>
      <c r="I598">
        <v>54300</v>
      </c>
    </row>
    <row r="599" spans="1:9" x14ac:dyDescent="0.35">
      <c r="A599" t="s">
        <v>642</v>
      </c>
      <c r="B599" s="4">
        <v>46150</v>
      </c>
      <c r="C599" s="3" t="s">
        <v>15</v>
      </c>
      <c r="D599" s="3" t="s">
        <v>74</v>
      </c>
      <c r="E599" t="s">
        <v>37</v>
      </c>
      <c r="F599" t="s">
        <v>18</v>
      </c>
      <c r="G599" s="3">
        <v>8</v>
      </c>
      <c r="H599">
        <v>47800</v>
      </c>
      <c r="I599">
        <v>382400</v>
      </c>
    </row>
    <row r="600" spans="1:9" x14ac:dyDescent="0.35">
      <c r="A600" t="s">
        <v>643</v>
      </c>
      <c r="B600" s="4">
        <v>46079</v>
      </c>
      <c r="C600" s="3" t="s">
        <v>31</v>
      </c>
      <c r="D600" s="3" t="s">
        <v>74</v>
      </c>
      <c r="E600" t="s">
        <v>17</v>
      </c>
      <c r="F600" t="s">
        <v>18</v>
      </c>
      <c r="G600" s="3">
        <v>1</v>
      </c>
      <c r="H600">
        <v>32200</v>
      </c>
      <c r="I600">
        <v>32200</v>
      </c>
    </row>
    <row r="601" spans="1:9" x14ac:dyDescent="0.35">
      <c r="A601" t="s">
        <v>644</v>
      </c>
      <c r="B601" s="4">
        <v>46200</v>
      </c>
      <c r="C601" s="3" t="s">
        <v>31</v>
      </c>
      <c r="D601" s="3" t="s">
        <v>49</v>
      </c>
      <c r="E601" t="s">
        <v>54</v>
      </c>
      <c r="F601" t="s">
        <v>55</v>
      </c>
      <c r="G601" s="3">
        <v>6</v>
      </c>
      <c r="H601">
        <v>22900</v>
      </c>
      <c r="I601">
        <v>137400</v>
      </c>
    </row>
    <row r="602" spans="1:9" x14ac:dyDescent="0.35">
      <c r="A602" t="s">
        <v>645</v>
      </c>
      <c r="B602" s="4">
        <v>46064</v>
      </c>
      <c r="C602" s="3" t="s">
        <v>10</v>
      </c>
      <c r="D602" s="3" t="s">
        <v>11</v>
      </c>
      <c r="E602" t="s">
        <v>12</v>
      </c>
      <c r="F602" t="s">
        <v>13</v>
      </c>
      <c r="G602" s="3">
        <v>5</v>
      </c>
      <c r="H602">
        <v>2700</v>
      </c>
      <c r="I602">
        <v>13500</v>
      </c>
    </row>
    <row r="603" spans="1:9" x14ac:dyDescent="0.35">
      <c r="A603" t="s">
        <v>646</v>
      </c>
      <c r="B603" s="4">
        <v>46125</v>
      </c>
      <c r="C603" s="3" t="s">
        <v>39</v>
      </c>
      <c r="D603" s="3" t="s">
        <v>25</v>
      </c>
      <c r="E603" t="s">
        <v>63</v>
      </c>
      <c r="F603" t="s">
        <v>55</v>
      </c>
      <c r="G603" s="3">
        <v>7</v>
      </c>
      <c r="H603">
        <v>33600</v>
      </c>
      <c r="I603">
        <v>235200</v>
      </c>
    </row>
    <row r="604" spans="1:9" x14ac:dyDescent="0.35">
      <c r="A604" t="s">
        <v>648</v>
      </c>
      <c r="B604" s="4">
        <v>46160</v>
      </c>
      <c r="C604" s="3" t="s">
        <v>44</v>
      </c>
      <c r="D604" s="3" t="s">
        <v>25</v>
      </c>
      <c r="E604" t="s">
        <v>12</v>
      </c>
      <c r="F604" t="s">
        <v>13</v>
      </c>
      <c r="G604" s="3">
        <v>6</v>
      </c>
      <c r="H604">
        <v>2200</v>
      </c>
      <c r="I604">
        <v>13200</v>
      </c>
    </row>
    <row r="605" spans="1:9" x14ac:dyDescent="0.35">
      <c r="A605" t="s">
        <v>649</v>
      </c>
      <c r="B605" s="4">
        <v>46138</v>
      </c>
      <c r="C605" s="3" t="s">
        <v>20</v>
      </c>
      <c r="D605" s="3" t="s">
        <v>11</v>
      </c>
      <c r="E605" t="s">
        <v>32</v>
      </c>
      <c r="F605" t="s">
        <v>13</v>
      </c>
      <c r="G605" s="3">
        <v>6</v>
      </c>
      <c r="H605">
        <v>4700</v>
      </c>
      <c r="I605">
        <v>28200</v>
      </c>
    </row>
    <row r="606" spans="1:9" x14ac:dyDescent="0.35">
      <c r="A606" t="s">
        <v>650</v>
      </c>
      <c r="B606" s="4">
        <v>46041</v>
      </c>
      <c r="C606" s="3" t="s">
        <v>10</v>
      </c>
      <c r="D606" s="3" t="s">
        <v>16</v>
      </c>
      <c r="E606" t="s">
        <v>63</v>
      </c>
      <c r="F606" t="s">
        <v>55</v>
      </c>
      <c r="G606" s="3">
        <v>1</v>
      </c>
      <c r="H606">
        <v>28700</v>
      </c>
      <c r="I606">
        <v>28700</v>
      </c>
    </row>
    <row r="607" spans="1:9" x14ac:dyDescent="0.35">
      <c r="A607" t="s">
        <v>651</v>
      </c>
      <c r="B607" s="4">
        <v>46121</v>
      </c>
      <c r="C607" s="3" t="s">
        <v>31</v>
      </c>
      <c r="D607" s="3" t="s">
        <v>25</v>
      </c>
      <c r="E607" t="s">
        <v>40</v>
      </c>
      <c r="F607" t="s">
        <v>13</v>
      </c>
      <c r="G607" s="3">
        <v>2</v>
      </c>
      <c r="H607">
        <v>6100</v>
      </c>
      <c r="I607">
        <v>12200</v>
      </c>
    </row>
    <row r="608" spans="1:9" x14ac:dyDescent="0.35">
      <c r="A608" t="s">
        <v>652</v>
      </c>
      <c r="B608" s="4">
        <v>46190</v>
      </c>
      <c r="C608" s="3" t="s">
        <v>31</v>
      </c>
      <c r="D608" s="3" t="s">
        <v>49</v>
      </c>
      <c r="E608" t="s">
        <v>12</v>
      </c>
      <c r="F608" t="s">
        <v>13</v>
      </c>
      <c r="G608" s="3">
        <v>6</v>
      </c>
      <c r="H608">
        <v>2400</v>
      </c>
      <c r="I608">
        <v>14400</v>
      </c>
    </row>
    <row r="609" spans="1:9" x14ac:dyDescent="0.35">
      <c r="A609" t="s">
        <v>653</v>
      </c>
      <c r="B609" s="4">
        <v>46056</v>
      </c>
      <c r="C609" s="3" t="s">
        <v>29</v>
      </c>
      <c r="D609" s="3" t="s">
        <v>49</v>
      </c>
      <c r="E609" t="s">
        <v>61</v>
      </c>
      <c r="F609" t="s">
        <v>13</v>
      </c>
      <c r="G609" s="3">
        <v>1</v>
      </c>
      <c r="H609">
        <v>8200</v>
      </c>
      <c r="I609">
        <v>8200</v>
      </c>
    </row>
    <row r="610" spans="1:9" x14ac:dyDescent="0.35">
      <c r="A610" t="s">
        <v>654</v>
      </c>
      <c r="B610" s="4">
        <v>46140</v>
      </c>
      <c r="C610" s="3" t="s">
        <v>44</v>
      </c>
      <c r="D610" s="3" t="s">
        <v>25</v>
      </c>
      <c r="E610" t="s">
        <v>37</v>
      </c>
      <c r="F610" t="s">
        <v>18</v>
      </c>
      <c r="G610" s="3">
        <v>6</v>
      </c>
      <c r="H610">
        <v>57200</v>
      </c>
      <c r="I610">
        <v>343200</v>
      </c>
    </row>
    <row r="611" spans="1:9" x14ac:dyDescent="0.35">
      <c r="A611" t="s">
        <v>655</v>
      </c>
      <c r="B611" s="4">
        <v>46192</v>
      </c>
      <c r="C611" s="3" t="s">
        <v>65</v>
      </c>
      <c r="D611" s="3" t="s">
        <v>74</v>
      </c>
      <c r="E611" t="s">
        <v>37</v>
      </c>
      <c r="F611" t="s">
        <v>18</v>
      </c>
      <c r="G611" s="3">
        <v>6</v>
      </c>
      <c r="H611">
        <v>55000</v>
      </c>
      <c r="I611">
        <v>330000</v>
      </c>
    </row>
    <row r="612" spans="1:9" x14ac:dyDescent="0.35">
      <c r="A612" t="s">
        <v>656</v>
      </c>
      <c r="B612" s="4">
        <v>46180</v>
      </c>
      <c r="C612" s="3" t="s">
        <v>65</v>
      </c>
      <c r="D612" s="3" t="s">
        <v>25</v>
      </c>
      <c r="E612" t="s">
        <v>61</v>
      </c>
      <c r="F612" t="s">
        <v>13</v>
      </c>
      <c r="G612" s="3">
        <v>1</v>
      </c>
      <c r="H612">
        <v>7600</v>
      </c>
      <c r="I612">
        <v>7600</v>
      </c>
    </row>
    <row r="613" spans="1:9" x14ac:dyDescent="0.35">
      <c r="A613" t="s">
        <v>657</v>
      </c>
      <c r="B613" s="4">
        <v>46084</v>
      </c>
      <c r="C613" s="3" t="s">
        <v>20</v>
      </c>
      <c r="D613" s="3" t="s">
        <v>74</v>
      </c>
      <c r="E613" t="s">
        <v>17</v>
      </c>
      <c r="F613" t="s">
        <v>18</v>
      </c>
      <c r="G613" s="3">
        <v>7</v>
      </c>
      <c r="H613">
        <v>36300</v>
      </c>
      <c r="I613">
        <v>254100</v>
      </c>
    </row>
    <row r="614" spans="1:9" x14ac:dyDescent="0.35">
      <c r="A614" t="s">
        <v>658</v>
      </c>
      <c r="B614" s="4">
        <v>46070</v>
      </c>
      <c r="C614" s="3" t="s">
        <v>20</v>
      </c>
      <c r="D614" s="3" t="s">
        <v>11</v>
      </c>
      <c r="E614" t="s">
        <v>61</v>
      </c>
      <c r="F614" t="s">
        <v>13</v>
      </c>
      <c r="G614" s="3">
        <v>7</v>
      </c>
      <c r="H614">
        <v>7600</v>
      </c>
      <c r="I614">
        <v>53200</v>
      </c>
    </row>
    <row r="615" spans="1:9" x14ac:dyDescent="0.35">
      <c r="A615" t="s">
        <v>659</v>
      </c>
      <c r="B615" s="4">
        <v>46181</v>
      </c>
      <c r="C615" s="3" t="s">
        <v>24</v>
      </c>
      <c r="D615" s="3" t="s">
        <v>16</v>
      </c>
      <c r="E615" t="s">
        <v>21</v>
      </c>
      <c r="F615" t="s">
        <v>22</v>
      </c>
      <c r="G615" s="3">
        <v>5</v>
      </c>
      <c r="H615">
        <v>25600</v>
      </c>
      <c r="I615">
        <v>128000</v>
      </c>
    </row>
    <row r="616" spans="1:9" x14ac:dyDescent="0.35">
      <c r="A616" t="s">
        <v>660</v>
      </c>
      <c r="B616" s="4">
        <v>46194</v>
      </c>
      <c r="C616" s="3" t="s">
        <v>39</v>
      </c>
      <c r="D616" s="3" t="s">
        <v>74</v>
      </c>
      <c r="E616" t="s">
        <v>54</v>
      </c>
      <c r="F616" t="s">
        <v>55</v>
      </c>
      <c r="G616" s="3">
        <v>4</v>
      </c>
      <c r="H616">
        <v>25200</v>
      </c>
      <c r="I616">
        <v>100800</v>
      </c>
    </row>
    <row r="617" spans="1:9" x14ac:dyDescent="0.35">
      <c r="A617" t="s">
        <v>661</v>
      </c>
      <c r="B617" s="4">
        <v>46166</v>
      </c>
      <c r="C617" s="3" t="s">
        <v>51</v>
      </c>
      <c r="D617" s="3" t="s">
        <v>16</v>
      </c>
      <c r="E617" t="s">
        <v>54</v>
      </c>
      <c r="F617" t="s">
        <v>55</v>
      </c>
      <c r="G617" s="3">
        <v>6</v>
      </c>
      <c r="H617">
        <v>19900</v>
      </c>
      <c r="I617">
        <v>119400</v>
      </c>
    </row>
    <row r="618" spans="1:9" x14ac:dyDescent="0.35">
      <c r="A618" t="s">
        <v>662</v>
      </c>
      <c r="B618" s="4">
        <v>46049</v>
      </c>
      <c r="C618" s="3" t="s">
        <v>51</v>
      </c>
      <c r="D618" s="3" t="s">
        <v>74</v>
      </c>
      <c r="E618" t="s">
        <v>12</v>
      </c>
      <c r="F618" t="s">
        <v>13</v>
      </c>
      <c r="G618" s="3">
        <v>6</v>
      </c>
      <c r="H618">
        <v>2400</v>
      </c>
      <c r="I618">
        <v>14400</v>
      </c>
    </row>
    <row r="619" spans="1:9" x14ac:dyDescent="0.35">
      <c r="A619" t="s">
        <v>663</v>
      </c>
      <c r="B619" s="4">
        <v>46101</v>
      </c>
      <c r="C619" s="3" t="s">
        <v>44</v>
      </c>
      <c r="D619" s="3" t="s">
        <v>11</v>
      </c>
      <c r="E619" t="s">
        <v>26</v>
      </c>
      <c r="F619" t="s">
        <v>18</v>
      </c>
      <c r="G619" s="3">
        <v>4</v>
      </c>
      <c r="H619">
        <v>78700</v>
      </c>
      <c r="I619">
        <v>314800</v>
      </c>
    </row>
    <row r="620" spans="1:9" x14ac:dyDescent="0.35">
      <c r="A620" t="s">
        <v>664</v>
      </c>
      <c r="B620" s="4">
        <v>46105</v>
      </c>
      <c r="C620" s="3" t="s">
        <v>65</v>
      </c>
      <c r="D620" s="3" t="s">
        <v>11</v>
      </c>
      <c r="E620" t="s">
        <v>32</v>
      </c>
      <c r="F620" t="s">
        <v>13</v>
      </c>
      <c r="G620" s="3">
        <v>3</v>
      </c>
      <c r="H620">
        <v>4200</v>
      </c>
      <c r="I620">
        <v>12600</v>
      </c>
    </row>
    <row r="621" spans="1:9" x14ac:dyDescent="0.35">
      <c r="A621" t="s">
        <v>665</v>
      </c>
      <c r="B621" s="4">
        <v>46062</v>
      </c>
      <c r="C621" s="3" t="s">
        <v>51</v>
      </c>
      <c r="D621" s="3" t="s">
        <v>49</v>
      </c>
      <c r="E621" t="s">
        <v>12</v>
      </c>
      <c r="F621" t="s">
        <v>13</v>
      </c>
      <c r="G621" s="3">
        <v>7</v>
      </c>
      <c r="H621">
        <v>2300</v>
      </c>
      <c r="I621">
        <v>16100</v>
      </c>
    </row>
    <row r="622" spans="1:9" x14ac:dyDescent="0.35">
      <c r="A622" t="s">
        <v>666</v>
      </c>
      <c r="B622" s="4">
        <v>46037</v>
      </c>
      <c r="C622" s="3" t="s">
        <v>31</v>
      </c>
      <c r="D622" s="3" t="s">
        <v>74</v>
      </c>
      <c r="E622" t="s">
        <v>63</v>
      </c>
      <c r="F622" t="s">
        <v>55</v>
      </c>
      <c r="G622" s="3">
        <v>1</v>
      </c>
      <c r="H622">
        <v>32200</v>
      </c>
      <c r="I622">
        <v>32200</v>
      </c>
    </row>
    <row r="623" spans="1:9" x14ac:dyDescent="0.35">
      <c r="A623" t="s">
        <v>667</v>
      </c>
      <c r="B623" s="4">
        <v>46047</v>
      </c>
      <c r="C623" s="3" t="s">
        <v>24</v>
      </c>
      <c r="D623" s="3" t="s">
        <v>11</v>
      </c>
      <c r="E623" t="s">
        <v>12</v>
      </c>
      <c r="F623" t="s">
        <v>13</v>
      </c>
      <c r="G623" s="3">
        <v>1</v>
      </c>
      <c r="H623">
        <v>2300</v>
      </c>
      <c r="I623">
        <v>2300</v>
      </c>
    </row>
    <row r="624" spans="1:9" x14ac:dyDescent="0.35">
      <c r="A624" t="s">
        <v>668</v>
      </c>
      <c r="B624" s="4">
        <v>46075</v>
      </c>
      <c r="C624" s="3" t="s">
        <v>10</v>
      </c>
      <c r="D624" s="3" t="s">
        <v>74</v>
      </c>
      <c r="E624" t="s">
        <v>61</v>
      </c>
      <c r="F624" t="s">
        <v>13</v>
      </c>
      <c r="G624" s="3">
        <v>8</v>
      </c>
      <c r="H624">
        <v>8600</v>
      </c>
      <c r="I624">
        <v>68800</v>
      </c>
    </row>
    <row r="625" spans="1:9" x14ac:dyDescent="0.35">
      <c r="A625" t="s">
        <v>669</v>
      </c>
      <c r="B625" s="4">
        <v>46131</v>
      </c>
      <c r="C625" s="3" t="s">
        <v>39</v>
      </c>
      <c r="D625" s="3" t="s">
        <v>49</v>
      </c>
      <c r="E625" t="s">
        <v>17</v>
      </c>
      <c r="F625" t="s">
        <v>18</v>
      </c>
      <c r="G625" s="3">
        <v>2</v>
      </c>
      <c r="H625">
        <v>36800</v>
      </c>
      <c r="I625">
        <v>73600</v>
      </c>
    </row>
    <row r="626" spans="1:9" x14ac:dyDescent="0.35">
      <c r="A626" t="s">
        <v>670</v>
      </c>
      <c r="B626" s="4">
        <v>46139</v>
      </c>
      <c r="C626" s="3" t="s">
        <v>31</v>
      </c>
      <c r="D626" s="3" t="s">
        <v>11</v>
      </c>
      <c r="E626" t="s">
        <v>61</v>
      </c>
      <c r="F626" t="s">
        <v>13</v>
      </c>
      <c r="G626" s="3">
        <v>2</v>
      </c>
      <c r="H626">
        <v>8100</v>
      </c>
      <c r="I626">
        <v>16200</v>
      </c>
    </row>
    <row r="627" spans="1:9" x14ac:dyDescent="0.35">
      <c r="A627" t="s">
        <v>671</v>
      </c>
      <c r="B627" s="4">
        <v>46166</v>
      </c>
      <c r="C627" s="3" t="s">
        <v>24</v>
      </c>
      <c r="D627" s="3" t="s">
        <v>49</v>
      </c>
      <c r="E627" t="s">
        <v>32</v>
      </c>
      <c r="F627" t="s">
        <v>13</v>
      </c>
      <c r="G627" s="3">
        <v>5</v>
      </c>
      <c r="H627">
        <v>4000</v>
      </c>
      <c r="I627">
        <v>20000</v>
      </c>
    </row>
    <row r="628" spans="1:9" x14ac:dyDescent="0.35">
      <c r="A628" t="s">
        <v>672</v>
      </c>
      <c r="B628" s="4">
        <v>46045</v>
      </c>
      <c r="C628" s="3" t="s">
        <v>20</v>
      </c>
      <c r="D628" s="3" t="s">
        <v>36</v>
      </c>
      <c r="E628" t="s">
        <v>26</v>
      </c>
      <c r="F628" t="s">
        <v>18</v>
      </c>
      <c r="G628" s="3">
        <v>8</v>
      </c>
      <c r="H628">
        <v>79000</v>
      </c>
      <c r="I628">
        <v>632000</v>
      </c>
    </row>
    <row r="629" spans="1:9" x14ac:dyDescent="0.35">
      <c r="A629" t="s">
        <v>673</v>
      </c>
      <c r="B629" s="4">
        <v>46033</v>
      </c>
      <c r="C629" s="3" t="s">
        <v>15</v>
      </c>
      <c r="D629" s="3" t="s">
        <v>36</v>
      </c>
      <c r="E629" t="s">
        <v>63</v>
      </c>
      <c r="F629" t="s">
        <v>55</v>
      </c>
      <c r="G629" s="3">
        <v>4</v>
      </c>
      <c r="H629">
        <v>30700</v>
      </c>
      <c r="I629">
        <v>122800</v>
      </c>
    </row>
    <row r="630" spans="1:9" x14ac:dyDescent="0.35">
      <c r="A630" t="s">
        <v>674</v>
      </c>
      <c r="B630" s="4">
        <v>46194</v>
      </c>
      <c r="C630" s="3" t="s">
        <v>31</v>
      </c>
      <c r="D630" s="3" t="s">
        <v>16</v>
      </c>
      <c r="E630" t="s">
        <v>61</v>
      </c>
      <c r="F630" t="s">
        <v>13</v>
      </c>
      <c r="G630" s="3">
        <v>3</v>
      </c>
      <c r="H630">
        <v>8500</v>
      </c>
      <c r="I630">
        <v>25500</v>
      </c>
    </row>
    <row r="631" spans="1:9" x14ac:dyDescent="0.35">
      <c r="A631" t="s">
        <v>675</v>
      </c>
      <c r="B631" s="4">
        <v>46115</v>
      </c>
      <c r="C631" s="3" t="s">
        <v>65</v>
      </c>
      <c r="D631" s="3" t="s">
        <v>11</v>
      </c>
      <c r="E631" t="s">
        <v>12</v>
      </c>
      <c r="F631" t="s">
        <v>13</v>
      </c>
      <c r="G631" s="3">
        <v>3</v>
      </c>
      <c r="H631">
        <v>2600</v>
      </c>
      <c r="I631">
        <v>7800</v>
      </c>
    </row>
    <row r="632" spans="1:9" x14ac:dyDescent="0.35">
      <c r="A632" t="s">
        <v>676</v>
      </c>
      <c r="B632" s="4">
        <v>46091</v>
      </c>
      <c r="C632" s="3" t="s">
        <v>24</v>
      </c>
      <c r="D632" s="3" t="s">
        <v>11</v>
      </c>
      <c r="E632" t="s">
        <v>21</v>
      </c>
      <c r="F632" t="s">
        <v>22</v>
      </c>
      <c r="G632" s="3">
        <v>5</v>
      </c>
      <c r="H632">
        <v>26200</v>
      </c>
      <c r="I632">
        <v>131000</v>
      </c>
    </row>
    <row r="633" spans="1:9" x14ac:dyDescent="0.35">
      <c r="A633" t="s">
        <v>677</v>
      </c>
      <c r="B633" s="4">
        <v>46034</v>
      </c>
      <c r="C633" s="3" t="s">
        <v>10</v>
      </c>
      <c r="D633" s="3" t="s">
        <v>49</v>
      </c>
      <c r="E633" t="s">
        <v>63</v>
      </c>
      <c r="F633" t="s">
        <v>55</v>
      </c>
      <c r="G633" s="3">
        <v>5</v>
      </c>
      <c r="H633">
        <v>27000</v>
      </c>
      <c r="I633">
        <v>135000</v>
      </c>
    </row>
    <row r="634" spans="1:9" x14ac:dyDescent="0.35">
      <c r="A634" t="s">
        <v>678</v>
      </c>
      <c r="B634" s="4">
        <v>46188</v>
      </c>
      <c r="C634" s="3" t="s">
        <v>34</v>
      </c>
      <c r="D634" s="3" t="s">
        <v>11</v>
      </c>
      <c r="E634" t="s">
        <v>32</v>
      </c>
      <c r="F634" t="s">
        <v>13</v>
      </c>
      <c r="G634" s="3">
        <v>1</v>
      </c>
      <c r="H634">
        <v>4600</v>
      </c>
      <c r="I634">
        <v>4600</v>
      </c>
    </row>
    <row r="635" spans="1:9" x14ac:dyDescent="0.35">
      <c r="A635" t="s">
        <v>679</v>
      </c>
      <c r="B635" s="4">
        <v>46143</v>
      </c>
      <c r="C635" s="3" t="s">
        <v>44</v>
      </c>
      <c r="D635" s="3" t="s">
        <v>25</v>
      </c>
      <c r="E635" t="s">
        <v>32</v>
      </c>
      <c r="F635" t="s">
        <v>13</v>
      </c>
      <c r="G635" s="3">
        <v>1</v>
      </c>
      <c r="H635">
        <v>4200</v>
      </c>
      <c r="I635">
        <v>4200</v>
      </c>
    </row>
    <row r="636" spans="1:9" x14ac:dyDescent="0.35">
      <c r="A636" t="s">
        <v>680</v>
      </c>
      <c r="B636" s="4">
        <v>46169</v>
      </c>
      <c r="C636" s="3" t="s">
        <v>20</v>
      </c>
      <c r="D636" s="3" t="s">
        <v>36</v>
      </c>
      <c r="E636" t="s">
        <v>17</v>
      </c>
      <c r="F636" t="s">
        <v>18</v>
      </c>
      <c r="G636" s="3">
        <v>8</v>
      </c>
      <c r="H636">
        <v>34400</v>
      </c>
      <c r="I636">
        <v>275200</v>
      </c>
    </row>
    <row r="637" spans="1:9" x14ac:dyDescent="0.35">
      <c r="A637" t="s">
        <v>681</v>
      </c>
      <c r="B637" s="4">
        <v>46152</v>
      </c>
      <c r="C637" s="3" t="s">
        <v>51</v>
      </c>
      <c r="D637" s="3" t="s">
        <v>11</v>
      </c>
      <c r="E637" t="s">
        <v>40</v>
      </c>
      <c r="F637" t="s">
        <v>13</v>
      </c>
      <c r="G637" s="3">
        <v>6</v>
      </c>
      <c r="H637">
        <v>7100</v>
      </c>
      <c r="I637">
        <v>42600</v>
      </c>
    </row>
    <row r="638" spans="1:9" x14ac:dyDescent="0.35">
      <c r="A638" t="s">
        <v>682</v>
      </c>
      <c r="B638" s="4">
        <v>46193</v>
      </c>
      <c r="C638" s="3" t="s">
        <v>1047</v>
      </c>
      <c r="D638" s="3" t="s">
        <v>11</v>
      </c>
      <c r="E638" t="s">
        <v>21</v>
      </c>
      <c r="F638" t="s">
        <v>22</v>
      </c>
      <c r="G638" s="3">
        <v>2</v>
      </c>
      <c r="H638">
        <v>27300</v>
      </c>
      <c r="I638">
        <v>54600</v>
      </c>
    </row>
    <row r="639" spans="1:9" x14ac:dyDescent="0.35">
      <c r="A639" t="s">
        <v>683</v>
      </c>
      <c r="B639" s="4">
        <v>46168</v>
      </c>
      <c r="C639" s="3" t="s">
        <v>29</v>
      </c>
      <c r="D639" s="3" t="s">
        <v>36</v>
      </c>
      <c r="E639" t="s">
        <v>12</v>
      </c>
      <c r="F639" t="s">
        <v>13</v>
      </c>
      <c r="G639" s="3">
        <v>1</v>
      </c>
      <c r="H639">
        <v>2300</v>
      </c>
      <c r="I639">
        <v>2300</v>
      </c>
    </row>
    <row r="640" spans="1:9" x14ac:dyDescent="0.35">
      <c r="A640" t="s">
        <v>684</v>
      </c>
      <c r="B640" s="4">
        <v>46114</v>
      </c>
      <c r="C640" s="3" t="s">
        <v>46</v>
      </c>
      <c r="D640" s="3" t="s">
        <v>11</v>
      </c>
      <c r="E640" t="s">
        <v>12</v>
      </c>
      <c r="F640" t="s">
        <v>13</v>
      </c>
      <c r="G640" s="3">
        <v>8</v>
      </c>
      <c r="H640">
        <v>2800</v>
      </c>
      <c r="I640">
        <v>22400</v>
      </c>
    </row>
    <row r="641" spans="1:9" x14ac:dyDescent="0.35">
      <c r="A641" t="s">
        <v>685</v>
      </c>
      <c r="B641" s="4">
        <v>46158</v>
      </c>
      <c r="C641" s="3" t="s">
        <v>44</v>
      </c>
      <c r="D641" s="3" t="s">
        <v>49</v>
      </c>
      <c r="E641" t="s">
        <v>54</v>
      </c>
      <c r="F641" t="s">
        <v>55</v>
      </c>
      <c r="G641" s="3">
        <v>7</v>
      </c>
      <c r="H641">
        <v>18800</v>
      </c>
      <c r="I641">
        <v>131600</v>
      </c>
    </row>
    <row r="642" spans="1:9" x14ac:dyDescent="0.35">
      <c r="A642" t="s">
        <v>686</v>
      </c>
      <c r="B642" s="4">
        <v>46099</v>
      </c>
      <c r="C642" s="3" t="s">
        <v>31</v>
      </c>
      <c r="D642" s="3" t="s">
        <v>11</v>
      </c>
      <c r="E642" t="s">
        <v>63</v>
      </c>
      <c r="F642" t="s">
        <v>55</v>
      </c>
      <c r="G642" s="3">
        <v>2</v>
      </c>
      <c r="H642">
        <v>30900</v>
      </c>
      <c r="I642">
        <v>61800</v>
      </c>
    </row>
    <row r="643" spans="1:9" x14ac:dyDescent="0.35">
      <c r="A643" t="s">
        <v>687</v>
      </c>
      <c r="B643" s="4">
        <v>46099</v>
      </c>
      <c r="C643" s="3" t="s">
        <v>10</v>
      </c>
      <c r="D643" s="3" t="s">
        <v>11</v>
      </c>
      <c r="E643" t="s">
        <v>40</v>
      </c>
      <c r="F643" t="s">
        <v>13</v>
      </c>
      <c r="G643" s="3">
        <v>4</v>
      </c>
      <c r="H643">
        <v>7400</v>
      </c>
      <c r="I643">
        <v>29600</v>
      </c>
    </row>
    <row r="644" spans="1:9" x14ac:dyDescent="0.35">
      <c r="A644" t="s">
        <v>688</v>
      </c>
      <c r="B644" s="4">
        <v>46191</v>
      </c>
      <c r="C644" s="3" t="s">
        <v>44</v>
      </c>
      <c r="D644" s="3" t="s">
        <v>49</v>
      </c>
      <c r="E644" t="s">
        <v>37</v>
      </c>
      <c r="F644" t="s">
        <v>18</v>
      </c>
      <c r="G644" s="3">
        <v>1</v>
      </c>
      <c r="H644">
        <v>56800</v>
      </c>
      <c r="I644">
        <v>56800</v>
      </c>
    </row>
    <row r="645" spans="1:9" x14ac:dyDescent="0.35">
      <c r="A645" t="s">
        <v>689</v>
      </c>
      <c r="B645" s="4">
        <v>46188</v>
      </c>
      <c r="C645" s="3" t="s">
        <v>29</v>
      </c>
      <c r="D645" s="3" t="s">
        <v>36</v>
      </c>
      <c r="E645" t="s">
        <v>61</v>
      </c>
      <c r="F645" t="s">
        <v>13</v>
      </c>
      <c r="G645" s="3">
        <v>1</v>
      </c>
      <c r="H645">
        <v>8400</v>
      </c>
      <c r="I645">
        <v>8400</v>
      </c>
    </row>
    <row r="646" spans="1:9" x14ac:dyDescent="0.35">
      <c r="A646" t="s">
        <v>690</v>
      </c>
      <c r="B646" s="4">
        <v>46136</v>
      </c>
      <c r="C646" s="3" t="s">
        <v>15</v>
      </c>
      <c r="D646" s="3" t="s">
        <v>25</v>
      </c>
      <c r="E646" t="s">
        <v>32</v>
      </c>
      <c r="F646" t="s">
        <v>13</v>
      </c>
      <c r="G646" s="3">
        <v>6</v>
      </c>
      <c r="H646">
        <v>4700</v>
      </c>
      <c r="I646">
        <v>28200</v>
      </c>
    </row>
    <row r="647" spans="1:9" x14ac:dyDescent="0.35">
      <c r="A647" t="s">
        <v>691</v>
      </c>
      <c r="B647" s="4">
        <v>46188</v>
      </c>
      <c r="C647" s="3" t="s">
        <v>31</v>
      </c>
      <c r="D647" s="3" t="s">
        <v>36</v>
      </c>
      <c r="E647" t="s">
        <v>12</v>
      </c>
      <c r="F647" t="s">
        <v>13</v>
      </c>
      <c r="G647" s="3">
        <v>5</v>
      </c>
      <c r="H647">
        <v>2400</v>
      </c>
      <c r="I647">
        <v>12000</v>
      </c>
    </row>
    <row r="648" spans="1:9" x14ac:dyDescent="0.35">
      <c r="A648" t="s">
        <v>692</v>
      </c>
      <c r="B648" s="4">
        <v>46200</v>
      </c>
      <c r="C648" s="3" t="s">
        <v>65</v>
      </c>
      <c r="D648" s="3" t="s">
        <v>16</v>
      </c>
      <c r="E648" t="s">
        <v>32</v>
      </c>
      <c r="F648" t="s">
        <v>13</v>
      </c>
      <c r="G648" s="3">
        <v>5</v>
      </c>
      <c r="H648">
        <v>4300</v>
      </c>
      <c r="I648">
        <v>21500</v>
      </c>
    </row>
    <row r="649" spans="1:9" x14ac:dyDescent="0.35">
      <c r="A649" t="s">
        <v>693</v>
      </c>
      <c r="B649" s="4">
        <v>46044</v>
      </c>
      <c r="C649" s="3" t="s">
        <v>29</v>
      </c>
      <c r="D649" s="3" t="s">
        <v>11</v>
      </c>
      <c r="E649" t="s">
        <v>21</v>
      </c>
      <c r="F649" t="s">
        <v>22</v>
      </c>
      <c r="G649" s="3">
        <v>3</v>
      </c>
      <c r="H649">
        <v>30200</v>
      </c>
      <c r="I649">
        <v>90600</v>
      </c>
    </row>
    <row r="650" spans="1:9" x14ac:dyDescent="0.35">
      <c r="A650" t="s">
        <v>694</v>
      </c>
      <c r="B650" s="4">
        <v>46128</v>
      </c>
      <c r="C650" s="3" t="s">
        <v>39</v>
      </c>
      <c r="D650" s="3" t="s">
        <v>74</v>
      </c>
      <c r="E650" t="s">
        <v>12</v>
      </c>
      <c r="F650" t="s">
        <v>13</v>
      </c>
      <c r="G650" s="3">
        <v>4</v>
      </c>
      <c r="H650">
        <v>2700</v>
      </c>
      <c r="I650">
        <v>10800</v>
      </c>
    </row>
    <row r="651" spans="1:9" x14ac:dyDescent="0.35">
      <c r="A651" t="s">
        <v>695</v>
      </c>
      <c r="B651" s="4">
        <v>46066</v>
      </c>
      <c r="C651" s="3" t="s">
        <v>39</v>
      </c>
      <c r="D651" s="3" t="s">
        <v>49</v>
      </c>
      <c r="E651" t="s">
        <v>26</v>
      </c>
      <c r="F651" t="s">
        <v>18</v>
      </c>
      <c r="G651" s="3">
        <v>3</v>
      </c>
      <c r="H651">
        <v>89200</v>
      </c>
      <c r="I651">
        <v>267600</v>
      </c>
    </row>
    <row r="652" spans="1:9" x14ac:dyDescent="0.35">
      <c r="A652" t="s">
        <v>696</v>
      </c>
      <c r="B652" s="4">
        <v>46079</v>
      </c>
      <c r="C652" s="3" t="s">
        <v>31</v>
      </c>
      <c r="D652" s="3" t="s">
        <v>49</v>
      </c>
      <c r="E652" t="s">
        <v>17</v>
      </c>
      <c r="F652" t="s">
        <v>18</v>
      </c>
      <c r="G652" s="3">
        <v>2</v>
      </c>
      <c r="H652">
        <v>37700</v>
      </c>
      <c r="I652">
        <v>75400</v>
      </c>
    </row>
    <row r="653" spans="1:9" x14ac:dyDescent="0.35">
      <c r="A653" t="s">
        <v>697</v>
      </c>
      <c r="B653" s="4">
        <v>46124</v>
      </c>
      <c r="C653" s="3" t="s">
        <v>31</v>
      </c>
      <c r="D653" s="3" t="s">
        <v>49</v>
      </c>
      <c r="E653" t="s">
        <v>37</v>
      </c>
      <c r="F653" t="s">
        <v>18</v>
      </c>
      <c r="G653" s="3">
        <v>6</v>
      </c>
      <c r="H653">
        <v>48200</v>
      </c>
      <c r="I653">
        <v>289200</v>
      </c>
    </row>
    <row r="654" spans="1:9" x14ac:dyDescent="0.35">
      <c r="A654" t="s">
        <v>698</v>
      </c>
      <c r="B654" s="4">
        <v>46074</v>
      </c>
      <c r="C654" s="3" t="s">
        <v>65</v>
      </c>
      <c r="D654" s="3" t="s">
        <v>11</v>
      </c>
      <c r="E654" t="s">
        <v>32</v>
      </c>
      <c r="F654" t="s">
        <v>13</v>
      </c>
      <c r="G654" s="3">
        <v>4</v>
      </c>
      <c r="H654">
        <v>4500</v>
      </c>
      <c r="I654">
        <v>18000</v>
      </c>
    </row>
    <row r="655" spans="1:9" x14ac:dyDescent="0.35">
      <c r="A655" t="s">
        <v>699</v>
      </c>
      <c r="B655" s="4">
        <v>46083</v>
      </c>
      <c r="C655" s="3" t="s">
        <v>10</v>
      </c>
      <c r="D655" s="3" t="s">
        <v>16</v>
      </c>
      <c r="E655" t="s">
        <v>40</v>
      </c>
      <c r="F655" t="s">
        <v>13</v>
      </c>
      <c r="G655" s="3">
        <v>3</v>
      </c>
      <c r="H655">
        <v>6600</v>
      </c>
      <c r="I655">
        <v>19800</v>
      </c>
    </row>
    <row r="656" spans="1:9" x14ac:dyDescent="0.35">
      <c r="A656" t="s">
        <v>700</v>
      </c>
      <c r="B656" s="4">
        <v>46025</v>
      </c>
      <c r="C656" s="3" t="s">
        <v>20</v>
      </c>
      <c r="D656" s="3" t="s">
        <v>25</v>
      </c>
      <c r="E656" t="s">
        <v>61</v>
      </c>
      <c r="F656" t="s">
        <v>13</v>
      </c>
      <c r="G656" s="3">
        <v>1</v>
      </c>
      <c r="H656">
        <v>8900</v>
      </c>
      <c r="I656">
        <v>8900</v>
      </c>
    </row>
    <row r="657" spans="1:9" x14ac:dyDescent="0.35">
      <c r="A657" t="s">
        <v>701</v>
      </c>
      <c r="B657" s="4">
        <v>46143</v>
      </c>
      <c r="C657" s="3" t="s">
        <v>31</v>
      </c>
      <c r="D657" s="3" t="s">
        <v>49</v>
      </c>
      <c r="E657" t="s">
        <v>21</v>
      </c>
      <c r="F657" t="s">
        <v>22</v>
      </c>
      <c r="G657" s="3">
        <v>2</v>
      </c>
      <c r="H657">
        <v>26400</v>
      </c>
      <c r="I657">
        <v>52800</v>
      </c>
    </row>
    <row r="658" spans="1:9" x14ac:dyDescent="0.35">
      <c r="A658" t="s">
        <v>702</v>
      </c>
      <c r="B658" s="4">
        <v>46203</v>
      </c>
      <c r="C658" s="3" t="s">
        <v>51</v>
      </c>
      <c r="D658" s="3" t="s">
        <v>11</v>
      </c>
      <c r="E658" t="s">
        <v>40</v>
      </c>
      <c r="F658" t="s">
        <v>13</v>
      </c>
      <c r="G658" s="3">
        <v>5</v>
      </c>
      <c r="H658">
        <v>6700</v>
      </c>
      <c r="I658">
        <v>33500</v>
      </c>
    </row>
    <row r="659" spans="1:9" x14ac:dyDescent="0.35">
      <c r="A659" t="s">
        <v>703</v>
      </c>
      <c r="B659" s="4">
        <v>46114</v>
      </c>
      <c r="C659" s="3" t="s">
        <v>65</v>
      </c>
      <c r="D659" s="3" t="s">
        <v>16</v>
      </c>
      <c r="E659" t="s">
        <v>21</v>
      </c>
      <c r="F659" t="s">
        <v>22</v>
      </c>
      <c r="G659" s="3">
        <v>7</v>
      </c>
      <c r="H659">
        <v>24800</v>
      </c>
      <c r="I659">
        <v>173600</v>
      </c>
    </row>
    <row r="660" spans="1:9" x14ac:dyDescent="0.35">
      <c r="A660" t="s">
        <v>704</v>
      </c>
      <c r="B660" s="4">
        <v>46060</v>
      </c>
      <c r="C660" s="3" t="s">
        <v>10</v>
      </c>
      <c r="D660" s="3" t="s">
        <v>36</v>
      </c>
      <c r="E660" t="s">
        <v>26</v>
      </c>
      <c r="F660" t="s">
        <v>18</v>
      </c>
      <c r="G660" s="3">
        <v>4</v>
      </c>
      <c r="H660">
        <v>96400</v>
      </c>
      <c r="I660">
        <v>385600</v>
      </c>
    </row>
    <row r="661" spans="1:9" x14ac:dyDescent="0.35">
      <c r="A661" t="s">
        <v>705</v>
      </c>
      <c r="B661" s="4">
        <v>46143</v>
      </c>
      <c r="C661" s="3" t="s">
        <v>65</v>
      </c>
      <c r="D661" s="3" t="s">
        <v>16</v>
      </c>
      <c r="E661" t="s">
        <v>40</v>
      </c>
      <c r="F661" t="s">
        <v>13</v>
      </c>
      <c r="G661" s="3">
        <v>7</v>
      </c>
      <c r="H661">
        <v>7200</v>
      </c>
      <c r="I661">
        <v>50400</v>
      </c>
    </row>
    <row r="662" spans="1:9" x14ac:dyDescent="0.35">
      <c r="A662" t="s">
        <v>706</v>
      </c>
      <c r="B662" s="4">
        <v>46067</v>
      </c>
      <c r="C662" s="3" t="s">
        <v>31</v>
      </c>
      <c r="D662" s="3" t="s">
        <v>49</v>
      </c>
      <c r="E662" t="s">
        <v>61</v>
      </c>
      <c r="F662" t="s">
        <v>13</v>
      </c>
      <c r="G662" s="3">
        <v>1</v>
      </c>
      <c r="H662">
        <v>7000</v>
      </c>
      <c r="I662">
        <v>7000</v>
      </c>
    </row>
    <row r="663" spans="1:9" x14ac:dyDescent="0.35">
      <c r="A663" t="s">
        <v>707</v>
      </c>
      <c r="B663" s="4">
        <v>46127</v>
      </c>
      <c r="C663" s="3" t="s">
        <v>39</v>
      </c>
      <c r="D663" s="3" t="s">
        <v>49</v>
      </c>
      <c r="E663" t="s">
        <v>61</v>
      </c>
      <c r="F663" t="s">
        <v>13</v>
      </c>
      <c r="G663" s="3">
        <v>2</v>
      </c>
      <c r="H663">
        <v>7900</v>
      </c>
      <c r="I663">
        <v>15800</v>
      </c>
    </row>
    <row r="664" spans="1:9" x14ac:dyDescent="0.35">
      <c r="A664" t="s">
        <v>708</v>
      </c>
      <c r="B664" s="4">
        <v>46045</v>
      </c>
      <c r="C664" s="3" t="s">
        <v>46</v>
      </c>
      <c r="D664" s="3" t="s">
        <v>74</v>
      </c>
      <c r="E664" t="s">
        <v>32</v>
      </c>
      <c r="F664" t="s">
        <v>13</v>
      </c>
      <c r="G664" s="3">
        <v>8</v>
      </c>
      <c r="H664">
        <v>4900</v>
      </c>
      <c r="I664">
        <v>39200</v>
      </c>
    </row>
    <row r="665" spans="1:9" x14ac:dyDescent="0.35">
      <c r="A665" t="s">
        <v>709</v>
      </c>
      <c r="B665" s="4">
        <v>46046</v>
      </c>
      <c r="C665" s="3" t="s">
        <v>24</v>
      </c>
      <c r="D665" s="3" t="s">
        <v>36</v>
      </c>
      <c r="E665" t="s">
        <v>17</v>
      </c>
      <c r="F665" t="s">
        <v>18</v>
      </c>
      <c r="G665" s="3">
        <v>8</v>
      </c>
      <c r="H665">
        <v>31300</v>
      </c>
      <c r="I665">
        <v>250400</v>
      </c>
    </row>
    <row r="666" spans="1:9" x14ac:dyDescent="0.35">
      <c r="A666" t="s">
        <v>710</v>
      </c>
      <c r="B666" s="4">
        <v>46169</v>
      </c>
      <c r="C666" s="3" t="s">
        <v>24</v>
      </c>
      <c r="D666" s="3" t="s">
        <v>49</v>
      </c>
      <c r="E666" t="s">
        <v>63</v>
      </c>
      <c r="F666" t="s">
        <v>55</v>
      </c>
      <c r="G666" s="3">
        <v>5</v>
      </c>
      <c r="H666">
        <v>29900</v>
      </c>
      <c r="I666">
        <v>149500</v>
      </c>
    </row>
    <row r="667" spans="1:9" x14ac:dyDescent="0.35">
      <c r="A667" t="s">
        <v>711</v>
      </c>
      <c r="B667" s="4">
        <v>46073</v>
      </c>
      <c r="C667" s="3" t="s">
        <v>29</v>
      </c>
      <c r="D667" s="3" t="s">
        <v>74</v>
      </c>
      <c r="E667" t="s">
        <v>40</v>
      </c>
      <c r="F667" t="s">
        <v>13</v>
      </c>
      <c r="G667" s="3">
        <v>7</v>
      </c>
      <c r="H667">
        <v>6300</v>
      </c>
      <c r="I667">
        <v>44100</v>
      </c>
    </row>
    <row r="668" spans="1:9" x14ac:dyDescent="0.35">
      <c r="A668" t="s">
        <v>712</v>
      </c>
      <c r="B668" s="4">
        <v>46113</v>
      </c>
      <c r="C668" s="3" t="s">
        <v>29</v>
      </c>
      <c r="D668" s="3" t="s">
        <v>74</v>
      </c>
      <c r="E668" t="s">
        <v>26</v>
      </c>
      <c r="F668" t="s">
        <v>18</v>
      </c>
      <c r="G668" s="3">
        <v>5</v>
      </c>
      <c r="H668">
        <v>87600</v>
      </c>
      <c r="I668">
        <v>438000</v>
      </c>
    </row>
    <row r="669" spans="1:9" x14ac:dyDescent="0.35">
      <c r="A669" t="s">
        <v>713</v>
      </c>
      <c r="B669" s="4">
        <v>46197</v>
      </c>
      <c r="C669" s="3" t="s">
        <v>39</v>
      </c>
      <c r="D669" s="3" t="s">
        <v>16</v>
      </c>
      <c r="E669" t="s">
        <v>63</v>
      </c>
      <c r="F669" t="s">
        <v>55</v>
      </c>
      <c r="G669" s="3">
        <v>4</v>
      </c>
      <c r="H669">
        <v>34100</v>
      </c>
      <c r="I669">
        <v>136400</v>
      </c>
    </row>
    <row r="670" spans="1:9" x14ac:dyDescent="0.35">
      <c r="A670" t="s">
        <v>714</v>
      </c>
      <c r="B670" s="4">
        <v>46106</v>
      </c>
      <c r="C670" s="3" t="s">
        <v>65</v>
      </c>
      <c r="D670" s="3" t="s">
        <v>16</v>
      </c>
      <c r="E670" t="s">
        <v>32</v>
      </c>
      <c r="F670" t="s">
        <v>13</v>
      </c>
      <c r="G670" s="3">
        <v>1</v>
      </c>
      <c r="H670">
        <v>4200</v>
      </c>
      <c r="I670">
        <v>4200</v>
      </c>
    </row>
    <row r="671" spans="1:9" x14ac:dyDescent="0.35">
      <c r="A671" t="s">
        <v>715</v>
      </c>
      <c r="B671" s="4">
        <v>46108</v>
      </c>
      <c r="C671" s="3" t="s">
        <v>10</v>
      </c>
      <c r="D671" s="3" t="s">
        <v>36</v>
      </c>
      <c r="E671" t="s">
        <v>54</v>
      </c>
      <c r="F671" t="s">
        <v>55</v>
      </c>
      <c r="G671" s="3">
        <v>4</v>
      </c>
      <c r="H671">
        <v>21900</v>
      </c>
      <c r="I671">
        <v>87600</v>
      </c>
    </row>
    <row r="672" spans="1:9" x14ac:dyDescent="0.35">
      <c r="A672" t="s">
        <v>716</v>
      </c>
      <c r="B672" s="4">
        <v>46195</v>
      </c>
      <c r="C672" s="3" t="s">
        <v>15</v>
      </c>
      <c r="D672" s="3" t="s">
        <v>74</v>
      </c>
      <c r="E672" t="s">
        <v>12</v>
      </c>
      <c r="F672" t="s">
        <v>13</v>
      </c>
      <c r="G672" s="3">
        <v>1</v>
      </c>
      <c r="H672">
        <v>2300</v>
      </c>
      <c r="I672">
        <v>2300</v>
      </c>
    </row>
    <row r="673" spans="1:9" x14ac:dyDescent="0.35">
      <c r="A673" t="s">
        <v>717</v>
      </c>
      <c r="B673" s="4">
        <v>46072</v>
      </c>
      <c r="C673" s="3" t="s">
        <v>10</v>
      </c>
      <c r="D673" s="3" t="s">
        <v>16</v>
      </c>
      <c r="E673" t="s">
        <v>21</v>
      </c>
      <c r="F673" t="s">
        <v>22</v>
      </c>
      <c r="G673" s="3">
        <v>4</v>
      </c>
      <c r="H673">
        <v>30300</v>
      </c>
      <c r="I673">
        <v>121200</v>
      </c>
    </row>
    <row r="674" spans="1:9" x14ac:dyDescent="0.35">
      <c r="A674" t="s">
        <v>718</v>
      </c>
      <c r="B674" s="4">
        <v>46188</v>
      </c>
      <c r="C674" s="3" t="s">
        <v>29</v>
      </c>
      <c r="D674" s="3" t="s">
        <v>74</v>
      </c>
      <c r="E674" t="s">
        <v>37</v>
      </c>
      <c r="F674" t="s">
        <v>18</v>
      </c>
      <c r="G674" s="3">
        <v>6</v>
      </c>
      <c r="H674">
        <v>58100</v>
      </c>
      <c r="I674">
        <v>348600</v>
      </c>
    </row>
    <row r="675" spans="1:9" x14ac:dyDescent="0.35">
      <c r="A675" t="s">
        <v>719</v>
      </c>
      <c r="B675" s="4">
        <v>46168</v>
      </c>
      <c r="C675" s="3" t="s">
        <v>31</v>
      </c>
      <c r="D675" s="3" t="s">
        <v>74</v>
      </c>
      <c r="E675" t="s">
        <v>12</v>
      </c>
      <c r="F675" t="s">
        <v>13</v>
      </c>
      <c r="G675" s="3">
        <v>2</v>
      </c>
      <c r="H675">
        <v>2300</v>
      </c>
      <c r="I675">
        <v>4600</v>
      </c>
    </row>
    <row r="676" spans="1:9" x14ac:dyDescent="0.35">
      <c r="A676" t="s">
        <v>720</v>
      </c>
      <c r="B676" s="4">
        <v>46126</v>
      </c>
      <c r="C676" s="3" t="s">
        <v>51</v>
      </c>
      <c r="D676" s="3" t="s">
        <v>11</v>
      </c>
      <c r="E676" t="s">
        <v>40</v>
      </c>
      <c r="F676" t="s">
        <v>13</v>
      </c>
      <c r="G676" s="3">
        <v>5</v>
      </c>
      <c r="H676">
        <v>7300</v>
      </c>
      <c r="I676">
        <v>36500</v>
      </c>
    </row>
    <row r="677" spans="1:9" x14ac:dyDescent="0.35">
      <c r="A677" t="s">
        <v>721</v>
      </c>
      <c r="B677" s="4">
        <v>46149</v>
      </c>
      <c r="C677" s="3" t="s">
        <v>39</v>
      </c>
      <c r="D677" s="3" t="s">
        <v>25</v>
      </c>
      <c r="E677" t="s">
        <v>63</v>
      </c>
      <c r="F677" t="s">
        <v>55</v>
      </c>
      <c r="G677" s="3">
        <v>7</v>
      </c>
      <c r="H677">
        <v>28500</v>
      </c>
      <c r="I677">
        <v>199500</v>
      </c>
    </row>
    <row r="678" spans="1:9" x14ac:dyDescent="0.35">
      <c r="A678" t="s">
        <v>722</v>
      </c>
      <c r="B678" s="4">
        <v>46085</v>
      </c>
      <c r="C678" s="3" t="s">
        <v>39</v>
      </c>
      <c r="D678" s="3" t="s">
        <v>49</v>
      </c>
      <c r="E678" t="s">
        <v>32</v>
      </c>
      <c r="F678" t="s">
        <v>13</v>
      </c>
      <c r="G678" s="3">
        <v>6</v>
      </c>
      <c r="H678">
        <v>5000</v>
      </c>
      <c r="I678">
        <v>30000</v>
      </c>
    </row>
    <row r="679" spans="1:9" x14ac:dyDescent="0.35">
      <c r="A679" t="s">
        <v>723</v>
      </c>
      <c r="B679" s="4">
        <v>46172</v>
      </c>
      <c r="C679" s="3" t="s">
        <v>51</v>
      </c>
      <c r="D679" s="3" t="s">
        <v>11</v>
      </c>
      <c r="E679" t="s">
        <v>61</v>
      </c>
      <c r="F679" t="s">
        <v>13</v>
      </c>
      <c r="G679" s="3">
        <v>5</v>
      </c>
      <c r="H679">
        <v>7200</v>
      </c>
      <c r="I679">
        <v>36000</v>
      </c>
    </row>
    <row r="680" spans="1:9" x14ac:dyDescent="0.35">
      <c r="A680" t="s">
        <v>724</v>
      </c>
      <c r="B680" s="4">
        <v>46160</v>
      </c>
      <c r="C680" s="3" t="s">
        <v>51</v>
      </c>
      <c r="D680" s="3" t="s">
        <v>74</v>
      </c>
      <c r="E680" t="s">
        <v>21</v>
      </c>
      <c r="F680" t="s">
        <v>22</v>
      </c>
      <c r="G680" s="3">
        <v>2</v>
      </c>
      <c r="H680">
        <v>25300</v>
      </c>
      <c r="I680">
        <v>50600</v>
      </c>
    </row>
    <row r="681" spans="1:9" x14ac:dyDescent="0.35">
      <c r="A681" t="s">
        <v>725</v>
      </c>
      <c r="B681" s="4">
        <v>46079</v>
      </c>
      <c r="C681" s="3" t="s">
        <v>65</v>
      </c>
      <c r="D681" s="3" t="s">
        <v>49</v>
      </c>
      <c r="E681" t="s">
        <v>32</v>
      </c>
      <c r="F681" t="s">
        <v>13</v>
      </c>
      <c r="G681" s="3">
        <v>5</v>
      </c>
      <c r="H681">
        <v>3800</v>
      </c>
      <c r="I681">
        <v>19000</v>
      </c>
    </row>
    <row r="682" spans="1:9" x14ac:dyDescent="0.35">
      <c r="A682" t="s">
        <v>726</v>
      </c>
      <c r="B682" s="4">
        <v>46085</v>
      </c>
      <c r="C682" s="3" t="s">
        <v>46</v>
      </c>
      <c r="D682" s="3" t="s">
        <v>74</v>
      </c>
      <c r="E682" t="s">
        <v>26</v>
      </c>
      <c r="F682" t="s">
        <v>18</v>
      </c>
      <c r="G682" s="3">
        <v>1</v>
      </c>
      <c r="H682">
        <v>92300</v>
      </c>
      <c r="I682">
        <v>92300</v>
      </c>
    </row>
    <row r="683" spans="1:9" x14ac:dyDescent="0.35">
      <c r="A683" t="s">
        <v>727</v>
      </c>
      <c r="B683" s="4">
        <v>46148</v>
      </c>
      <c r="C683" s="3" t="s">
        <v>15</v>
      </c>
      <c r="D683" s="3" t="s">
        <v>16</v>
      </c>
      <c r="E683" t="s">
        <v>17</v>
      </c>
      <c r="F683" t="s">
        <v>18</v>
      </c>
      <c r="G683" s="3">
        <v>1</v>
      </c>
      <c r="H683">
        <v>32300</v>
      </c>
      <c r="I683">
        <v>32300</v>
      </c>
    </row>
    <row r="684" spans="1:9" x14ac:dyDescent="0.35">
      <c r="A684" t="s">
        <v>728</v>
      </c>
      <c r="B684" s="4">
        <v>46166</v>
      </c>
      <c r="C684" s="3" t="s">
        <v>15</v>
      </c>
      <c r="D684" s="3" t="s">
        <v>49</v>
      </c>
      <c r="E684" t="s">
        <v>17</v>
      </c>
      <c r="F684" t="s">
        <v>18</v>
      </c>
      <c r="G684" s="3">
        <v>2</v>
      </c>
      <c r="H684">
        <v>35500</v>
      </c>
      <c r="I684">
        <v>71000</v>
      </c>
    </row>
    <row r="685" spans="1:9" x14ac:dyDescent="0.35">
      <c r="A685" t="s">
        <v>729</v>
      </c>
      <c r="B685" s="4">
        <v>46095</v>
      </c>
      <c r="C685" s="3" t="s">
        <v>31</v>
      </c>
      <c r="D685" s="3" t="s">
        <v>74</v>
      </c>
      <c r="E685" t="s">
        <v>17</v>
      </c>
      <c r="F685" t="s">
        <v>18</v>
      </c>
      <c r="G685" s="3">
        <v>7</v>
      </c>
      <c r="H685">
        <v>32400</v>
      </c>
      <c r="I685">
        <v>226800</v>
      </c>
    </row>
    <row r="686" spans="1:9" x14ac:dyDescent="0.35">
      <c r="A686" t="s">
        <v>730</v>
      </c>
      <c r="B686" s="4">
        <v>46081</v>
      </c>
      <c r="C686" s="3" t="s">
        <v>10</v>
      </c>
      <c r="D686" s="3" t="s">
        <v>36</v>
      </c>
      <c r="E686" t="s">
        <v>12</v>
      </c>
      <c r="F686" t="s">
        <v>13</v>
      </c>
      <c r="G686" s="3">
        <v>2</v>
      </c>
      <c r="H686">
        <v>2200</v>
      </c>
      <c r="I686">
        <v>4400</v>
      </c>
    </row>
    <row r="687" spans="1:9" x14ac:dyDescent="0.35">
      <c r="A687" t="s">
        <v>731</v>
      </c>
      <c r="B687" s="4">
        <v>46174</v>
      </c>
      <c r="C687" s="3" t="s">
        <v>46</v>
      </c>
      <c r="D687" s="3" t="s">
        <v>11</v>
      </c>
      <c r="E687" t="s">
        <v>61</v>
      </c>
      <c r="F687" t="s">
        <v>13</v>
      </c>
      <c r="G687" s="3">
        <v>8</v>
      </c>
      <c r="H687">
        <v>7900</v>
      </c>
      <c r="I687">
        <v>63200</v>
      </c>
    </row>
    <row r="688" spans="1:9" x14ac:dyDescent="0.35">
      <c r="A688" t="s">
        <v>732</v>
      </c>
      <c r="B688" s="4">
        <v>46113</v>
      </c>
      <c r="C688" s="3" t="s">
        <v>51</v>
      </c>
      <c r="D688" s="3" t="s">
        <v>16</v>
      </c>
      <c r="E688" t="s">
        <v>17</v>
      </c>
      <c r="F688" t="s">
        <v>18</v>
      </c>
      <c r="G688" s="3">
        <v>2</v>
      </c>
      <c r="H688">
        <v>36700</v>
      </c>
      <c r="I688">
        <v>73400</v>
      </c>
    </row>
    <row r="689" spans="1:9" x14ac:dyDescent="0.35">
      <c r="A689" t="s">
        <v>733</v>
      </c>
      <c r="B689" s="4">
        <v>46106</v>
      </c>
      <c r="C689" s="3" t="s">
        <v>31</v>
      </c>
      <c r="D689" s="3" t="s">
        <v>11</v>
      </c>
      <c r="E689" t="s">
        <v>21</v>
      </c>
      <c r="F689" t="s">
        <v>22</v>
      </c>
      <c r="G689" s="3">
        <v>7</v>
      </c>
      <c r="H689">
        <v>31900</v>
      </c>
      <c r="I689">
        <v>223300</v>
      </c>
    </row>
    <row r="690" spans="1:9" x14ac:dyDescent="0.35">
      <c r="A690" t="s">
        <v>734</v>
      </c>
      <c r="B690" s="4">
        <v>46136</v>
      </c>
      <c r="C690" s="3" t="s">
        <v>39</v>
      </c>
      <c r="D690" s="3" t="s">
        <v>49</v>
      </c>
      <c r="E690" t="s">
        <v>17</v>
      </c>
      <c r="F690" t="s">
        <v>18</v>
      </c>
      <c r="G690" s="3">
        <v>4</v>
      </c>
      <c r="H690">
        <v>31200</v>
      </c>
      <c r="I690">
        <v>124800</v>
      </c>
    </row>
    <row r="691" spans="1:9" x14ac:dyDescent="0.35">
      <c r="A691" t="s">
        <v>735</v>
      </c>
      <c r="B691" s="4">
        <v>46183</v>
      </c>
      <c r="C691" s="3" t="s">
        <v>39</v>
      </c>
      <c r="D691" s="3" t="s">
        <v>25</v>
      </c>
      <c r="E691" t="s">
        <v>63</v>
      </c>
      <c r="F691" t="s">
        <v>55</v>
      </c>
      <c r="G691" s="3">
        <v>6</v>
      </c>
      <c r="H691">
        <v>33300</v>
      </c>
      <c r="I691">
        <v>199800</v>
      </c>
    </row>
    <row r="692" spans="1:9" x14ac:dyDescent="0.35">
      <c r="A692" t="s">
        <v>736</v>
      </c>
      <c r="B692" s="4">
        <v>46069</v>
      </c>
      <c r="C692" s="3" t="s">
        <v>24</v>
      </c>
      <c r="D692" s="3" t="s">
        <v>49</v>
      </c>
      <c r="E692" t="s">
        <v>37</v>
      </c>
      <c r="F692" t="s">
        <v>18</v>
      </c>
      <c r="G692" s="3">
        <v>2</v>
      </c>
      <c r="H692">
        <v>53900</v>
      </c>
      <c r="I692">
        <v>107800</v>
      </c>
    </row>
    <row r="693" spans="1:9" x14ac:dyDescent="0.35">
      <c r="A693" t="s">
        <v>737</v>
      </c>
      <c r="B693" s="4">
        <v>46166</v>
      </c>
      <c r="C693" s="3" t="s">
        <v>51</v>
      </c>
      <c r="D693" s="3" t="s">
        <v>25</v>
      </c>
      <c r="E693" t="s">
        <v>54</v>
      </c>
      <c r="F693" t="s">
        <v>55</v>
      </c>
      <c r="G693" s="3">
        <v>4</v>
      </c>
      <c r="H693">
        <v>23600</v>
      </c>
      <c r="I693">
        <v>94400</v>
      </c>
    </row>
    <row r="694" spans="1:9" x14ac:dyDescent="0.35">
      <c r="A694" t="s">
        <v>738</v>
      </c>
      <c r="B694" s="4">
        <v>46038</v>
      </c>
      <c r="C694" s="3" t="s">
        <v>46</v>
      </c>
      <c r="D694" s="3" t="s">
        <v>11</v>
      </c>
      <c r="E694" t="s">
        <v>54</v>
      </c>
      <c r="F694" t="s">
        <v>55</v>
      </c>
      <c r="G694" s="3">
        <v>4</v>
      </c>
      <c r="H694">
        <v>21500</v>
      </c>
      <c r="I694">
        <v>86000</v>
      </c>
    </row>
    <row r="695" spans="1:9" x14ac:dyDescent="0.35">
      <c r="A695" t="s">
        <v>739</v>
      </c>
      <c r="B695" s="4">
        <v>46042</v>
      </c>
      <c r="C695" s="3" t="s">
        <v>24</v>
      </c>
      <c r="D695" s="3" t="s">
        <v>36</v>
      </c>
      <c r="E695" t="s">
        <v>32</v>
      </c>
      <c r="F695" t="s">
        <v>13</v>
      </c>
      <c r="G695" s="3">
        <v>7</v>
      </c>
      <c r="H695">
        <v>4000</v>
      </c>
      <c r="I695">
        <v>28000</v>
      </c>
    </row>
    <row r="696" spans="1:9" x14ac:dyDescent="0.35">
      <c r="A696" t="s">
        <v>740</v>
      </c>
      <c r="B696" s="4">
        <v>46114</v>
      </c>
      <c r="C696" s="3" t="s">
        <v>15</v>
      </c>
      <c r="D696" s="3" t="s">
        <v>36</v>
      </c>
      <c r="E696" t="s">
        <v>61</v>
      </c>
      <c r="F696" t="s">
        <v>13</v>
      </c>
      <c r="G696" s="3">
        <v>3</v>
      </c>
      <c r="H696">
        <v>8300</v>
      </c>
      <c r="I696">
        <v>24900</v>
      </c>
    </row>
    <row r="697" spans="1:9" x14ac:dyDescent="0.35">
      <c r="A697" t="s">
        <v>741</v>
      </c>
      <c r="B697" s="4">
        <v>46150</v>
      </c>
      <c r="C697" s="3" t="s">
        <v>44</v>
      </c>
      <c r="D697" s="3" t="s">
        <v>11</v>
      </c>
      <c r="E697" t="s">
        <v>61</v>
      </c>
      <c r="F697" t="s">
        <v>13</v>
      </c>
      <c r="G697" s="3">
        <v>8</v>
      </c>
      <c r="H697">
        <v>7600</v>
      </c>
      <c r="I697">
        <v>60800</v>
      </c>
    </row>
    <row r="698" spans="1:9" x14ac:dyDescent="0.35">
      <c r="A698" t="s">
        <v>742</v>
      </c>
      <c r="B698" s="4">
        <v>46188</v>
      </c>
      <c r="C698" s="3" t="s">
        <v>39</v>
      </c>
      <c r="D698" s="3" t="s">
        <v>36</v>
      </c>
      <c r="E698" t="s">
        <v>21</v>
      </c>
      <c r="F698" t="s">
        <v>22</v>
      </c>
      <c r="G698" s="3">
        <v>1</v>
      </c>
      <c r="H698">
        <v>30400</v>
      </c>
      <c r="I698">
        <v>30400</v>
      </c>
    </row>
    <row r="699" spans="1:9" x14ac:dyDescent="0.35">
      <c r="A699" t="s">
        <v>743</v>
      </c>
      <c r="B699" s="4">
        <v>46134</v>
      </c>
      <c r="C699" s="3" t="s">
        <v>34</v>
      </c>
      <c r="D699" s="3" t="s">
        <v>16</v>
      </c>
      <c r="E699" t="s">
        <v>32</v>
      </c>
      <c r="F699" t="s">
        <v>13</v>
      </c>
      <c r="G699" s="3">
        <v>3</v>
      </c>
      <c r="H699">
        <v>4800</v>
      </c>
      <c r="I699">
        <v>14400</v>
      </c>
    </row>
    <row r="700" spans="1:9" x14ac:dyDescent="0.35">
      <c r="A700" t="s">
        <v>744</v>
      </c>
      <c r="B700" s="4">
        <v>46033</v>
      </c>
      <c r="C700" s="3" t="s">
        <v>39</v>
      </c>
      <c r="D700" s="3" t="s">
        <v>49</v>
      </c>
      <c r="E700" t="s">
        <v>12</v>
      </c>
      <c r="F700" t="s">
        <v>13</v>
      </c>
      <c r="G700" s="3">
        <v>1</v>
      </c>
      <c r="H700">
        <v>2700</v>
      </c>
      <c r="I700">
        <v>2700</v>
      </c>
    </row>
    <row r="701" spans="1:9" x14ac:dyDescent="0.35">
      <c r="A701" t="s">
        <v>745</v>
      </c>
      <c r="B701" s="4">
        <v>46127</v>
      </c>
      <c r="C701" s="3" t="s">
        <v>46</v>
      </c>
      <c r="D701" s="3" t="s">
        <v>49</v>
      </c>
      <c r="E701" t="s">
        <v>37</v>
      </c>
      <c r="F701" t="s">
        <v>18</v>
      </c>
      <c r="G701" s="3">
        <v>6</v>
      </c>
      <c r="H701">
        <v>58200</v>
      </c>
      <c r="I701">
        <v>349200</v>
      </c>
    </row>
    <row r="702" spans="1:9" x14ac:dyDescent="0.35">
      <c r="A702" t="s">
        <v>746</v>
      </c>
      <c r="B702" s="4">
        <v>46067</v>
      </c>
      <c r="C702" s="3" t="s">
        <v>20</v>
      </c>
      <c r="D702" s="3" t="s">
        <v>74</v>
      </c>
      <c r="E702" t="s">
        <v>26</v>
      </c>
      <c r="F702" t="s">
        <v>18</v>
      </c>
      <c r="G702" s="3">
        <v>5</v>
      </c>
      <c r="H702">
        <v>86900</v>
      </c>
      <c r="I702">
        <v>434500</v>
      </c>
    </row>
    <row r="703" spans="1:9" x14ac:dyDescent="0.35">
      <c r="A703" t="s">
        <v>747</v>
      </c>
      <c r="B703" s="4">
        <v>46095</v>
      </c>
      <c r="C703" s="3" t="s">
        <v>20</v>
      </c>
      <c r="D703" s="3" t="s">
        <v>11</v>
      </c>
      <c r="E703" t="s">
        <v>40</v>
      </c>
      <c r="F703" t="s">
        <v>13</v>
      </c>
      <c r="G703" s="3">
        <v>4</v>
      </c>
      <c r="H703">
        <v>6000</v>
      </c>
      <c r="I703">
        <v>24000</v>
      </c>
    </row>
    <row r="704" spans="1:9" x14ac:dyDescent="0.35">
      <c r="A704" t="s">
        <v>748</v>
      </c>
      <c r="B704" s="4">
        <v>46131</v>
      </c>
      <c r="C704" s="3" t="s">
        <v>29</v>
      </c>
      <c r="D704" s="3" t="s">
        <v>11</v>
      </c>
      <c r="E704" t="s">
        <v>12</v>
      </c>
      <c r="F704" t="s">
        <v>13</v>
      </c>
      <c r="G704" s="3">
        <v>4</v>
      </c>
      <c r="H704">
        <v>2200</v>
      </c>
      <c r="I704">
        <v>8800</v>
      </c>
    </row>
    <row r="705" spans="1:9" x14ac:dyDescent="0.35">
      <c r="A705" t="s">
        <v>749</v>
      </c>
      <c r="B705" s="4">
        <v>46201</v>
      </c>
      <c r="C705" s="3" t="s">
        <v>24</v>
      </c>
      <c r="D705" s="3" t="s">
        <v>25</v>
      </c>
      <c r="E705" t="s">
        <v>54</v>
      </c>
      <c r="F705" t="s">
        <v>55</v>
      </c>
      <c r="G705" s="3">
        <v>8</v>
      </c>
      <c r="H705">
        <v>19600</v>
      </c>
      <c r="I705">
        <v>156800</v>
      </c>
    </row>
    <row r="706" spans="1:9" x14ac:dyDescent="0.35">
      <c r="A706" t="s">
        <v>750</v>
      </c>
      <c r="B706" s="4">
        <v>46153</v>
      </c>
      <c r="C706" s="3" t="s">
        <v>65</v>
      </c>
      <c r="D706" s="3" t="s">
        <v>25</v>
      </c>
      <c r="E706" t="s">
        <v>40</v>
      </c>
      <c r="F706" t="s">
        <v>13</v>
      </c>
      <c r="G706" s="3">
        <v>2</v>
      </c>
      <c r="H706">
        <v>6100</v>
      </c>
      <c r="I706">
        <v>12200</v>
      </c>
    </row>
    <row r="707" spans="1:9" x14ac:dyDescent="0.35">
      <c r="A707" t="s">
        <v>751</v>
      </c>
      <c r="B707" s="4">
        <v>46166</v>
      </c>
      <c r="C707" s="3" t="s">
        <v>24</v>
      </c>
      <c r="D707" s="3" t="s">
        <v>16</v>
      </c>
      <c r="E707" t="s">
        <v>54</v>
      </c>
      <c r="F707" t="s">
        <v>55</v>
      </c>
      <c r="G707" s="3">
        <v>8</v>
      </c>
      <c r="H707">
        <v>19900</v>
      </c>
      <c r="I707">
        <v>159200</v>
      </c>
    </row>
    <row r="708" spans="1:9" x14ac:dyDescent="0.35">
      <c r="A708" t="s">
        <v>752</v>
      </c>
      <c r="B708" s="4">
        <v>46034</v>
      </c>
      <c r="C708" s="3" t="s">
        <v>44</v>
      </c>
      <c r="D708" s="3" t="s">
        <v>36</v>
      </c>
      <c r="E708" t="s">
        <v>61</v>
      </c>
      <c r="F708" t="s">
        <v>13</v>
      </c>
      <c r="G708" s="3">
        <v>6</v>
      </c>
      <c r="H708">
        <v>7000</v>
      </c>
      <c r="I708">
        <v>42000</v>
      </c>
    </row>
    <row r="709" spans="1:9" x14ac:dyDescent="0.35">
      <c r="A709" t="s">
        <v>753</v>
      </c>
      <c r="B709" s="4">
        <v>46149</v>
      </c>
      <c r="C709" s="3" t="s">
        <v>20</v>
      </c>
      <c r="D709" s="3" t="s">
        <v>36</v>
      </c>
      <c r="E709" t="s">
        <v>37</v>
      </c>
      <c r="F709" t="s">
        <v>18</v>
      </c>
      <c r="G709" s="3">
        <v>5</v>
      </c>
      <c r="H709">
        <v>55000</v>
      </c>
      <c r="I709">
        <v>275000</v>
      </c>
    </row>
    <row r="710" spans="1:9" x14ac:dyDescent="0.35">
      <c r="A710" t="s">
        <v>754</v>
      </c>
      <c r="B710" s="4">
        <v>46142</v>
      </c>
      <c r="C710" s="3" t="s">
        <v>44</v>
      </c>
      <c r="D710" s="3" t="s">
        <v>49</v>
      </c>
      <c r="E710" t="s">
        <v>63</v>
      </c>
      <c r="F710" t="s">
        <v>55</v>
      </c>
      <c r="G710" s="3">
        <v>5</v>
      </c>
      <c r="H710">
        <v>29500</v>
      </c>
      <c r="I710">
        <v>147500</v>
      </c>
    </row>
    <row r="711" spans="1:9" x14ac:dyDescent="0.35">
      <c r="A711" t="s">
        <v>755</v>
      </c>
      <c r="B711" s="4">
        <v>46032</v>
      </c>
      <c r="C711" s="3" t="s">
        <v>24</v>
      </c>
      <c r="D711" s="3" t="s">
        <v>74</v>
      </c>
      <c r="E711" t="s">
        <v>26</v>
      </c>
      <c r="F711" t="s">
        <v>18</v>
      </c>
      <c r="G711" s="3">
        <v>2</v>
      </c>
      <c r="H711">
        <v>82500</v>
      </c>
      <c r="I711">
        <v>165000</v>
      </c>
    </row>
    <row r="712" spans="1:9" x14ac:dyDescent="0.35">
      <c r="A712" t="s">
        <v>756</v>
      </c>
      <c r="B712" s="4">
        <v>46202</v>
      </c>
      <c r="C712" s="3" t="s">
        <v>15</v>
      </c>
      <c r="D712" s="3" t="s">
        <v>49</v>
      </c>
      <c r="E712" t="s">
        <v>37</v>
      </c>
      <c r="F712" t="s">
        <v>18</v>
      </c>
      <c r="G712" s="3">
        <v>8</v>
      </c>
      <c r="H712">
        <v>55400</v>
      </c>
      <c r="I712">
        <v>443200</v>
      </c>
    </row>
    <row r="713" spans="1:9" x14ac:dyDescent="0.35">
      <c r="A713" t="s">
        <v>757</v>
      </c>
      <c r="B713" s="4">
        <v>46146</v>
      </c>
      <c r="C713" s="3" t="s">
        <v>51</v>
      </c>
      <c r="D713" s="3" t="s">
        <v>49</v>
      </c>
      <c r="E713" t="s">
        <v>37</v>
      </c>
      <c r="F713" t="s">
        <v>18</v>
      </c>
      <c r="G713" s="3">
        <v>4</v>
      </c>
      <c r="H713">
        <v>62200</v>
      </c>
      <c r="I713">
        <v>248800</v>
      </c>
    </row>
    <row r="714" spans="1:9" x14ac:dyDescent="0.35">
      <c r="A714" t="s">
        <v>758</v>
      </c>
      <c r="B714" s="4">
        <v>46112</v>
      </c>
      <c r="C714" s="3" t="s">
        <v>39</v>
      </c>
      <c r="D714" s="3" t="s">
        <v>25</v>
      </c>
      <c r="E714" t="s">
        <v>32</v>
      </c>
      <c r="F714" t="s">
        <v>13</v>
      </c>
      <c r="G714" s="3">
        <v>8</v>
      </c>
      <c r="H714">
        <v>4600</v>
      </c>
      <c r="I714">
        <v>36800</v>
      </c>
    </row>
    <row r="715" spans="1:9" x14ac:dyDescent="0.35">
      <c r="A715" t="s">
        <v>759</v>
      </c>
      <c r="B715" s="4">
        <v>46073</v>
      </c>
      <c r="C715" s="3" t="s">
        <v>15</v>
      </c>
      <c r="D715" s="3" t="s">
        <v>74</v>
      </c>
      <c r="E715" t="s">
        <v>21</v>
      </c>
      <c r="F715" t="s">
        <v>22</v>
      </c>
      <c r="G715" s="3">
        <v>6</v>
      </c>
      <c r="H715">
        <v>30100</v>
      </c>
      <c r="I715">
        <v>180600</v>
      </c>
    </row>
    <row r="716" spans="1:9" x14ac:dyDescent="0.35">
      <c r="A716" t="s">
        <v>760</v>
      </c>
      <c r="B716" s="4">
        <v>46066</v>
      </c>
      <c r="C716" s="3" t="s">
        <v>46</v>
      </c>
      <c r="D716" s="3" t="s">
        <v>49</v>
      </c>
      <c r="E716" t="s">
        <v>54</v>
      </c>
      <c r="F716" t="s">
        <v>55</v>
      </c>
      <c r="G716" s="3">
        <v>3</v>
      </c>
      <c r="H716">
        <v>23200</v>
      </c>
      <c r="I716">
        <v>69600</v>
      </c>
    </row>
    <row r="717" spans="1:9" x14ac:dyDescent="0.35">
      <c r="A717" t="s">
        <v>761</v>
      </c>
      <c r="B717" s="4">
        <v>46105</v>
      </c>
      <c r="C717" s="3" t="s">
        <v>44</v>
      </c>
      <c r="D717" s="3" t="s">
        <v>25</v>
      </c>
      <c r="E717" t="s">
        <v>32</v>
      </c>
      <c r="F717" t="s">
        <v>13</v>
      </c>
      <c r="G717" s="3">
        <v>5</v>
      </c>
      <c r="H717">
        <v>4000</v>
      </c>
      <c r="I717">
        <v>20000</v>
      </c>
    </row>
    <row r="718" spans="1:9" x14ac:dyDescent="0.35">
      <c r="A718" t="s">
        <v>762</v>
      </c>
      <c r="B718" s="4">
        <v>46191</v>
      </c>
      <c r="C718" s="3" t="s">
        <v>51</v>
      </c>
      <c r="D718" s="3" t="s">
        <v>49</v>
      </c>
      <c r="E718" t="s">
        <v>40</v>
      </c>
      <c r="F718" t="s">
        <v>13</v>
      </c>
      <c r="G718" s="3">
        <v>5</v>
      </c>
      <c r="H718">
        <v>5600</v>
      </c>
      <c r="I718">
        <v>28000</v>
      </c>
    </row>
    <row r="719" spans="1:9" x14ac:dyDescent="0.35">
      <c r="A719" t="s">
        <v>763</v>
      </c>
      <c r="B719" s="4">
        <v>46046</v>
      </c>
      <c r="C719" s="3" t="s">
        <v>10</v>
      </c>
      <c r="D719" s="3" t="s">
        <v>25</v>
      </c>
      <c r="E719" t="s">
        <v>61</v>
      </c>
      <c r="F719" t="s">
        <v>13</v>
      </c>
      <c r="G719" s="3">
        <v>8</v>
      </c>
      <c r="H719">
        <v>8700</v>
      </c>
      <c r="I719">
        <v>69600</v>
      </c>
    </row>
    <row r="720" spans="1:9" x14ac:dyDescent="0.35">
      <c r="A720" t="s">
        <v>764</v>
      </c>
      <c r="B720" s="4">
        <v>46142</v>
      </c>
      <c r="C720" s="3" t="s">
        <v>24</v>
      </c>
      <c r="D720" s="3" t="s">
        <v>49</v>
      </c>
      <c r="E720" t="s">
        <v>21</v>
      </c>
      <c r="F720" t="s">
        <v>22</v>
      </c>
      <c r="G720" s="3">
        <v>6</v>
      </c>
      <c r="H720">
        <v>31100</v>
      </c>
      <c r="I720">
        <v>186600</v>
      </c>
    </row>
    <row r="721" spans="1:9" x14ac:dyDescent="0.35">
      <c r="A721" t="s">
        <v>765</v>
      </c>
      <c r="B721" s="4">
        <v>46157</v>
      </c>
      <c r="C721" s="3" t="s">
        <v>39</v>
      </c>
      <c r="D721" s="3" t="s">
        <v>36</v>
      </c>
      <c r="E721" t="s">
        <v>32</v>
      </c>
      <c r="F721" t="s">
        <v>13</v>
      </c>
      <c r="G721" s="3">
        <v>3</v>
      </c>
      <c r="H721">
        <v>4900</v>
      </c>
      <c r="I721">
        <v>14700</v>
      </c>
    </row>
    <row r="722" spans="1:9" x14ac:dyDescent="0.35">
      <c r="A722" t="s">
        <v>766</v>
      </c>
      <c r="B722" s="4">
        <v>46183</v>
      </c>
      <c r="C722" s="3" t="s">
        <v>15</v>
      </c>
      <c r="D722" s="3" t="s">
        <v>11</v>
      </c>
      <c r="E722" t="s">
        <v>12</v>
      </c>
      <c r="F722" t="s">
        <v>13</v>
      </c>
      <c r="G722" s="3">
        <v>5</v>
      </c>
      <c r="H722">
        <v>2700</v>
      </c>
      <c r="I722">
        <v>13500</v>
      </c>
    </row>
    <row r="723" spans="1:9" x14ac:dyDescent="0.35">
      <c r="A723" t="s">
        <v>767</v>
      </c>
      <c r="B723" s="4">
        <v>46169</v>
      </c>
      <c r="C723" s="3" t="s">
        <v>44</v>
      </c>
      <c r="D723" s="3" t="s">
        <v>36</v>
      </c>
      <c r="E723" t="s">
        <v>32</v>
      </c>
      <c r="F723" t="s">
        <v>13</v>
      </c>
      <c r="G723" s="3">
        <v>6</v>
      </c>
      <c r="H723">
        <v>3900</v>
      </c>
      <c r="I723">
        <v>23400</v>
      </c>
    </row>
    <row r="724" spans="1:9" x14ac:dyDescent="0.35">
      <c r="A724" t="s">
        <v>768</v>
      </c>
      <c r="B724" s="4">
        <v>46166</v>
      </c>
      <c r="C724" s="3" t="s">
        <v>39</v>
      </c>
      <c r="D724" s="3" t="s">
        <v>74</v>
      </c>
      <c r="E724" t="s">
        <v>12</v>
      </c>
      <c r="F724" t="s">
        <v>13</v>
      </c>
      <c r="G724" s="3">
        <v>8</v>
      </c>
      <c r="H724">
        <v>2100</v>
      </c>
      <c r="I724">
        <v>16800</v>
      </c>
    </row>
    <row r="725" spans="1:9" x14ac:dyDescent="0.35">
      <c r="A725" t="s">
        <v>769</v>
      </c>
      <c r="B725" s="4">
        <v>46109</v>
      </c>
      <c r="C725" s="3" t="s">
        <v>10</v>
      </c>
      <c r="D725" s="3" t="s">
        <v>49</v>
      </c>
      <c r="E725" t="s">
        <v>21</v>
      </c>
      <c r="F725" t="s">
        <v>22</v>
      </c>
      <c r="G725" s="3">
        <v>7</v>
      </c>
      <c r="H725">
        <v>28700</v>
      </c>
      <c r="I725">
        <v>200900</v>
      </c>
    </row>
    <row r="726" spans="1:9" x14ac:dyDescent="0.35">
      <c r="A726" t="s">
        <v>770</v>
      </c>
      <c r="B726" s="4">
        <v>46046</v>
      </c>
      <c r="C726" s="3" t="s">
        <v>65</v>
      </c>
      <c r="D726" s="3" t="s">
        <v>16</v>
      </c>
      <c r="E726" t="s">
        <v>54</v>
      </c>
      <c r="F726" t="s">
        <v>55</v>
      </c>
      <c r="G726" s="3">
        <v>3</v>
      </c>
      <c r="H726">
        <v>24200</v>
      </c>
      <c r="I726">
        <v>72600</v>
      </c>
    </row>
    <row r="727" spans="1:9" x14ac:dyDescent="0.35">
      <c r="A727" t="s">
        <v>771</v>
      </c>
      <c r="B727" s="4">
        <v>46183</v>
      </c>
      <c r="C727" s="3" t="s">
        <v>29</v>
      </c>
      <c r="D727" s="3" t="s">
        <v>74</v>
      </c>
      <c r="E727" t="s">
        <v>21</v>
      </c>
      <c r="F727" t="s">
        <v>22</v>
      </c>
      <c r="G727" s="3">
        <v>4</v>
      </c>
      <c r="H727">
        <v>30000</v>
      </c>
      <c r="I727">
        <v>120000</v>
      </c>
    </row>
    <row r="728" spans="1:9" x14ac:dyDescent="0.35">
      <c r="A728" t="s">
        <v>772</v>
      </c>
      <c r="B728" s="4">
        <v>46057</v>
      </c>
      <c r="C728" s="3" t="s">
        <v>34</v>
      </c>
      <c r="D728" s="3" t="s">
        <v>11</v>
      </c>
      <c r="E728" t="s">
        <v>40</v>
      </c>
      <c r="F728" t="s">
        <v>13</v>
      </c>
      <c r="G728" s="3">
        <v>7</v>
      </c>
      <c r="H728">
        <v>5900</v>
      </c>
      <c r="I728">
        <v>41300</v>
      </c>
    </row>
    <row r="729" spans="1:9" x14ac:dyDescent="0.35">
      <c r="A729" t="s">
        <v>773</v>
      </c>
      <c r="B729" s="4">
        <v>46084</v>
      </c>
      <c r="C729" s="3" t="s">
        <v>44</v>
      </c>
      <c r="D729" s="3" t="s">
        <v>16</v>
      </c>
      <c r="E729" t="s">
        <v>12</v>
      </c>
      <c r="F729" t="s">
        <v>13</v>
      </c>
      <c r="G729" s="3">
        <v>7</v>
      </c>
      <c r="H729">
        <v>2500</v>
      </c>
      <c r="I729">
        <v>17500</v>
      </c>
    </row>
    <row r="730" spans="1:9" x14ac:dyDescent="0.35">
      <c r="A730" t="s">
        <v>774</v>
      </c>
      <c r="B730" s="4">
        <v>46173</v>
      </c>
      <c r="C730" s="3" t="s">
        <v>10</v>
      </c>
      <c r="D730" s="3" t="s">
        <v>11</v>
      </c>
      <c r="E730" t="s">
        <v>17</v>
      </c>
      <c r="F730" t="s">
        <v>18</v>
      </c>
      <c r="G730" s="3">
        <v>8</v>
      </c>
      <c r="H730">
        <v>39700</v>
      </c>
      <c r="I730">
        <v>317600</v>
      </c>
    </row>
    <row r="731" spans="1:9" x14ac:dyDescent="0.35">
      <c r="A731" t="s">
        <v>775</v>
      </c>
      <c r="B731" s="4">
        <v>46190</v>
      </c>
      <c r="C731" s="3" t="s">
        <v>29</v>
      </c>
      <c r="D731" s="3" t="s">
        <v>16</v>
      </c>
      <c r="E731" t="s">
        <v>63</v>
      </c>
      <c r="F731" t="s">
        <v>55</v>
      </c>
      <c r="G731" s="3">
        <v>3</v>
      </c>
      <c r="H731">
        <v>33500</v>
      </c>
      <c r="I731">
        <v>100500</v>
      </c>
    </row>
    <row r="732" spans="1:9" x14ac:dyDescent="0.35">
      <c r="A732" t="s">
        <v>776</v>
      </c>
      <c r="B732" s="4">
        <v>46201</v>
      </c>
      <c r="C732" s="3" t="s">
        <v>34</v>
      </c>
      <c r="D732" s="3" t="s">
        <v>16</v>
      </c>
      <c r="E732" t="s">
        <v>54</v>
      </c>
      <c r="F732" t="s">
        <v>55</v>
      </c>
      <c r="G732" s="3">
        <v>5</v>
      </c>
      <c r="H732">
        <v>18800</v>
      </c>
      <c r="I732">
        <v>94000</v>
      </c>
    </row>
    <row r="733" spans="1:9" x14ac:dyDescent="0.35">
      <c r="A733" t="s">
        <v>777</v>
      </c>
      <c r="B733" s="4">
        <v>46115</v>
      </c>
      <c r="C733" s="3" t="s">
        <v>29</v>
      </c>
      <c r="D733" s="3" t="s">
        <v>16</v>
      </c>
      <c r="E733" t="s">
        <v>32</v>
      </c>
      <c r="F733" t="s">
        <v>13</v>
      </c>
      <c r="G733" s="3">
        <v>8</v>
      </c>
      <c r="H733">
        <v>4900</v>
      </c>
      <c r="I733">
        <v>39200</v>
      </c>
    </row>
    <row r="734" spans="1:9" x14ac:dyDescent="0.35">
      <c r="A734" t="s">
        <v>778</v>
      </c>
      <c r="B734" s="4">
        <v>46144</v>
      </c>
      <c r="C734" s="3" t="s">
        <v>65</v>
      </c>
      <c r="D734" s="3" t="s">
        <v>25</v>
      </c>
      <c r="E734" t="s">
        <v>37</v>
      </c>
      <c r="F734" t="s">
        <v>18</v>
      </c>
      <c r="G734" s="3">
        <v>3</v>
      </c>
      <c r="H734">
        <v>59200</v>
      </c>
      <c r="I734">
        <v>177600</v>
      </c>
    </row>
    <row r="735" spans="1:9" x14ac:dyDescent="0.35">
      <c r="A735" t="s">
        <v>779</v>
      </c>
      <c r="B735" s="4">
        <v>46090</v>
      </c>
      <c r="C735" s="3" t="s">
        <v>65</v>
      </c>
      <c r="D735" s="3" t="s">
        <v>49</v>
      </c>
      <c r="E735" t="s">
        <v>54</v>
      </c>
      <c r="F735" t="s">
        <v>55</v>
      </c>
      <c r="G735" s="3">
        <v>1</v>
      </c>
      <c r="H735">
        <v>23300</v>
      </c>
      <c r="I735">
        <v>23300</v>
      </c>
    </row>
    <row r="736" spans="1:9" x14ac:dyDescent="0.35">
      <c r="A736" t="s">
        <v>780</v>
      </c>
      <c r="B736" s="4">
        <v>46112</v>
      </c>
      <c r="C736" s="3" t="s">
        <v>34</v>
      </c>
      <c r="D736" s="3" t="s">
        <v>74</v>
      </c>
      <c r="E736" t="s">
        <v>21</v>
      </c>
      <c r="F736" t="s">
        <v>22</v>
      </c>
      <c r="G736" s="3">
        <v>1</v>
      </c>
      <c r="H736">
        <v>27300</v>
      </c>
      <c r="I736">
        <v>27300</v>
      </c>
    </row>
    <row r="737" spans="1:9" x14ac:dyDescent="0.35">
      <c r="A737" t="s">
        <v>781</v>
      </c>
      <c r="B737" s="4">
        <v>46060</v>
      </c>
      <c r="C737" s="3" t="s">
        <v>31</v>
      </c>
      <c r="D737" s="3" t="s">
        <v>49</v>
      </c>
      <c r="E737" t="s">
        <v>26</v>
      </c>
      <c r="F737" t="s">
        <v>18</v>
      </c>
      <c r="G737" s="3">
        <v>6</v>
      </c>
      <c r="H737">
        <v>74300</v>
      </c>
      <c r="I737">
        <v>445800</v>
      </c>
    </row>
    <row r="738" spans="1:9" x14ac:dyDescent="0.35">
      <c r="A738" t="s">
        <v>782</v>
      </c>
      <c r="B738" s="4">
        <v>46186</v>
      </c>
      <c r="C738" s="3" t="s">
        <v>10</v>
      </c>
      <c r="D738" s="3" t="s">
        <v>25</v>
      </c>
      <c r="E738" t="s">
        <v>26</v>
      </c>
      <c r="F738" t="s">
        <v>18</v>
      </c>
      <c r="G738" s="3">
        <v>2</v>
      </c>
      <c r="H738">
        <v>78700</v>
      </c>
      <c r="I738">
        <v>157400</v>
      </c>
    </row>
    <row r="739" spans="1:9" x14ac:dyDescent="0.35">
      <c r="A739" t="s">
        <v>783</v>
      </c>
      <c r="B739" s="4">
        <v>46066</v>
      </c>
      <c r="C739" s="3" t="s">
        <v>31</v>
      </c>
      <c r="D739" s="3" t="s">
        <v>36</v>
      </c>
      <c r="E739" t="s">
        <v>32</v>
      </c>
      <c r="F739" t="s">
        <v>13</v>
      </c>
      <c r="G739" s="3">
        <v>3</v>
      </c>
      <c r="H739">
        <v>4500</v>
      </c>
      <c r="I739">
        <v>13500</v>
      </c>
    </row>
    <row r="740" spans="1:9" x14ac:dyDescent="0.35">
      <c r="A740" t="s">
        <v>784</v>
      </c>
      <c r="B740" s="4">
        <v>46072</v>
      </c>
      <c r="C740" s="3" t="s">
        <v>10</v>
      </c>
      <c r="D740" s="3" t="s">
        <v>25</v>
      </c>
      <c r="E740" t="s">
        <v>54</v>
      </c>
      <c r="F740" t="s">
        <v>55</v>
      </c>
      <c r="G740" s="3">
        <v>5</v>
      </c>
      <c r="H740">
        <v>25200</v>
      </c>
      <c r="I740">
        <v>126000</v>
      </c>
    </row>
    <row r="741" spans="1:9" x14ac:dyDescent="0.35">
      <c r="A741" t="s">
        <v>785</v>
      </c>
      <c r="B741" s="4">
        <v>46083</v>
      </c>
      <c r="C741" s="3" t="s">
        <v>20</v>
      </c>
      <c r="D741" s="3" t="s">
        <v>49</v>
      </c>
      <c r="E741" t="s">
        <v>54</v>
      </c>
      <c r="F741" t="s">
        <v>55</v>
      </c>
      <c r="G741" s="3">
        <v>8</v>
      </c>
      <c r="H741">
        <v>22500</v>
      </c>
      <c r="I741">
        <v>180000</v>
      </c>
    </row>
    <row r="742" spans="1:9" x14ac:dyDescent="0.35">
      <c r="A742" t="s">
        <v>786</v>
      </c>
      <c r="B742" s="4">
        <v>46192</v>
      </c>
      <c r="C742" s="3" t="s">
        <v>24</v>
      </c>
      <c r="D742" s="3" t="s">
        <v>25</v>
      </c>
      <c r="E742" t="s">
        <v>37</v>
      </c>
      <c r="F742" t="s">
        <v>18</v>
      </c>
      <c r="G742" s="3">
        <v>2</v>
      </c>
      <c r="H742">
        <v>58000</v>
      </c>
      <c r="I742">
        <v>116000</v>
      </c>
    </row>
    <row r="743" spans="1:9" x14ac:dyDescent="0.35">
      <c r="A743" t="s">
        <v>787</v>
      </c>
      <c r="B743" s="4">
        <v>46191</v>
      </c>
      <c r="C743" s="3" t="s">
        <v>10</v>
      </c>
      <c r="D743" s="3" t="s">
        <v>11</v>
      </c>
      <c r="E743" t="s">
        <v>61</v>
      </c>
      <c r="F743" t="s">
        <v>13</v>
      </c>
      <c r="G743" s="3">
        <v>8</v>
      </c>
      <c r="H743">
        <v>7600</v>
      </c>
      <c r="I743">
        <v>60800</v>
      </c>
    </row>
    <row r="744" spans="1:9" x14ac:dyDescent="0.35">
      <c r="A744" t="s">
        <v>788</v>
      </c>
      <c r="B744" s="4">
        <v>46122</v>
      </c>
      <c r="C744" s="3" t="s">
        <v>34</v>
      </c>
      <c r="D744" s="3" t="s">
        <v>36</v>
      </c>
      <c r="E744" t="s">
        <v>37</v>
      </c>
      <c r="F744" t="s">
        <v>18</v>
      </c>
      <c r="G744" s="3">
        <v>7</v>
      </c>
      <c r="H744">
        <v>52000</v>
      </c>
      <c r="I744">
        <v>364000</v>
      </c>
    </row>
    <row r="745" spans="1:9" x14ac:dyDescent="0.35">
      <c r="A745" t="s">
        <v>789</v>
      </c>
      <c r="B745" s="4">
        <v>46146</v>
      </c>
      <c r="C745" s="3" t="s">
        <v>24</v>
      </c>
      <c r="D745" s="3" t="s">
        <v>25</v>
      </c>
      <c r="E745" t="s">
        <v>26</v>
      </c>
      <c r="F745" t="s">
        <v>18</v>
      </c>
      <c r="G745" s="3">
        <v>7</v>
      </c>
      <c r="H745">
        <v>93600</v>
      </c>
      <c r="I745">
        <v>655200</v>
      </c>
    </row>
    <row r="746" spans="1:9" x14ac:dyDescent="0.35">
      <c r="A746" t="s">
        <v>790</v>
      </c>
      <c r="B746" s="4">
        <v>46093</v>
      </c>
      <c r="C746" s="3" t="s">
        <v>15</v>
      </c>
      <c r="D746" s="3" t="s">
        <v>36</v>
      </c>
      <c r="E746" t="s">
        <v>37</v>
      </c>
      <c r="F746" t="s">
        <v>18</v>
      </c>
      <c r="G746" s="3">
        <v>6</v>
      </c>
      <c r="H746">
        <v>47000</v>
      </c>
      <c r="I746">
        <v>282000</v>
      </c>
    </row>
    <row r="747" spans="1:9" x14ac:dyDescent="0.35">
      <c r="A747" t="s">
        <v>791</v>
      </c>
      <c r="B747" s="4">
        <v>46202</v>
      </c>
      <c r="C747" s="3" t="s">
        <v>29</v>
      </c>
      <c r="D747" s="3" t="s">
        <v>11</v>
      </c>
      <c r="E747" t="s">
        <v>61</v>
      </c>
      <c r="F747" t="s">
        <v>13</v>
      </c>
      <c r="G747" s="3">
        <v>7</v>
      </c>
      <c r="H747">
        <v>7000</v>
      </c>
      <c r="I747">
        <v>49000</v>
      </c>
    </row>
    <row r="748" spans="1:9" x14ac:dyDescent="0.35">
      <c r="A748" t="s">
        <v>792</v>
      </c>
      <c r="B748" s="4">
        <v>46183</v>
      </c>
      <c r="C748" s="3" t="s">
        <v>46</v>
      </c>
      <c r="D748" s="3" t="s">
        <v>74</v>
      </c>
      <c r="E748" t="s">
        <v>37</v>
      </c>
      <c r="F748" t="s">
        <v>18</v>
      </c>
      <c r="G748" s="3">
        <v>4</v>
      </c>
      <c r="H748">
        <v>63200</v>
      </c>
      <c r="I748">
        <v>252800</v>
      </c>
    </row>
    <row r="749" spans="1:9" x14ac:dyDescent="0.35">
      <c r="A749" t="s">
        <v>793</v>
      </c>
      <c r="B749" s="4">
        <v>46045</v>
      </c>
      <c r="C749" s="3" t="s">
        <v>65</v>
      </c>
      <c r="D749" s="3" t="s">
        <v>25</v>
      </c>
      <c r="E749" t="s">
        <v>61</v>
      </c>
      <c r="F749" t="s">
        <v>13</v>
      </c>
      <c r="G749" s="3">
        <v>3</v>
      </c>
      <c r="H749">
        <v>7700</v>
      </c>
      <c r="I749">
        <v>23100</v>
      </c>
    </row>
    <row r="750" spans="1:9" x14ac:dyDescent="0.35">
      <c r="A750" t="s">
        <v>794</v>
      </c>
      <c r="B750" s="4">
        <v>46094</v>
      </c>
      <c r="C750" s="3" t="s">
        <v>24</v>
      </c>
      <c r="D750" s="3" t="s">
        <v>49</v>
      </c>
      <c r="E750" t="s">
        <v>17</v>
      </c>
      <c r="F750" t="s">
        <v>18</v>
      </c>
      <c r="G750" s="3">
        <v>7</v>
      </c>
      <c r="H750">
        <v>30200</v>
      </c>
      <c r="I750">
        <v>211400</v>
      </c>
    </row>
    <row r="751" spans="1:9" x14ac:dyDescent="0.35">
      <c r="A751" t="s">
        <v>795</v>
      </c>
      <c r="B751" s="4">
        <v>46107</v>
      </c>
      <c r="C751" s="3" t="s">
        <v>44</v>
      </c>
      <c r="D751" s="3" t="s">
        <v>36</v>
      </c>
      <c r="E751" t="s">
        <v>17</v>
      </c>
      <c r="F751" t="s">
        <v>18</v>
      </c>
      <c r="G751" s="3">
        <v>4</v>
      </c>
      <c r="H751">
        <v>34100</v>
      </c>
      <c r="I751">
        <v>136400</v>
      </c>
    </row>
    <row r="752" spans="1:9" x14ac:dyDescent="0.35">
      <c r="A752" t="s">
        <v>796</v>
      </c>
      <c r="B752" s="4">
        <v>46119</v>
      </c>
      <c r="C752" s="3" t="s">
        <v>39</v>
      </c>
      <c r="D752" s="3" t="s">
        <v>11</v>
      </c>
      <c r="E752" t="s">
        <v>61</v>
      </c>
      <c r="F752" t="s">
        <v>13</v>
      </c>
      <c r="G752" s="3">
        <v>4</v>
      </c>
      <c r="H752">
        <v>6900</v>
      </c>
      <c r="I752">
        <v>27600</v>
      </c>
    </row>
    <row r="753" spans="1:9" x14ac:dyDescent="0.35">
      <c r="A753" t="s">
        <v>797</v>
      </c>
      <c r="B753" s="4">
        <v>46133</v>
      </c>
      <c r="C753" s="3" t="s">
        <v>34</v>
      </c>
      <c r="D753" s="3" t="s">
        <v>25</v>
      </c>
      <c r="E753" t="s">
        <v>21</v>
      </c>
      <c r="F753" t="s">
        <v>22</v>
      </c>
      <c r="G753" s="3">
        <v>8</v>
      </c>
      <c r="H753">
        <v>29700</v>
      </c>
      <c r="I753">
        <v>237600</v>
      </c>
    </row>
    <row r="754" spans="1:9" x14ac:dyDescent="0.35">
      <c r="A754" t="s">
        <v>798</v>
      </c>
      <c r="B754" s="4">
        <v>46191</v>
      </c>
      <c r="C754" s="3" t="s">
        <v>24</v>
      </c>
      <c r="D754" s="3" t="s">
        <v>49</v>
      </c>
      <c r="E754" t="s">
        <v>61</v>
      </c>
      <c r="F754" t="s">
        <v>13</v>
      </c>
      <c r="G754" s="3">
        <v>1</v>
      </c>
      <c r="H754">
        <v>7300</v>
      </c>
      <c r="I754">
        <v>7300</v>
      </c>
    </row>
    <row r="755" spans="1:9" x14ac:dyDescent="0.35">
      <c r="A755" t="s">
        <v>799</v>
      </c>
      <c r="B755" s="4">
        <v>46124</v>
      </c>
      <c r="C755" s="3" t="s">
        <v>24</v>
      </c>
      <c r="D755" s="3" t="s">
        <v>36</v>
      </c>
      <c r="E755" t="s">
        <v>54</v>
      </c>
      <c r="F755" t="s">
        <v>55</v>
      </c>
      <c r="G755" s="3">
        <v>1</v>
      </c>
      <c r="H755">
        <v>18900</v>
      </c>
      <c r="I755">
        <v>18900</v>
      </c>
    </row>
    <row r="756" spans="1:9" x14ac:dyDescent="0.35">
      <c r="A756" t="s">
        <v>800</v>
      </c>
      <c r="B756" s="4">
        <v>46115</v>
      </c>
      <c r="C756" s="3" t="s">
        <v>44</v>
      </c>
      <c r="D756" s="3" t="s">
        <v>25</v>
      </c>
      <c r="E756" t="s">
        <v>63</v>
      </c>
      <c r="F756" t="s">
        <v>55</v>
      </c>
      <c r="G756" s="3">
        <v>1</v>
      </c>
      <c r="H756">
        <v>27900</v>
      </c>
      <c r="I756">
        <v>27900</v>
      </c>
    </row>
    <row r="757" spans="1:9" x14ac:dyDescent="0.35">
      <c r="A757" t="s">
        <v>801</v>
      </c>
      <c r="B757" s="4">
        <v>46038</v>
      </c>
      <c r="C757" s="3" t="s">
        <v>10</v>
      </c>
      <c r="D757" s="3" t="s">
        <v>25</v>
      </c>
      <c r="E757" t="s">
        <v>63</v>
      </c>
      <c r="F757" t="s">
        <v>55</v>
      </c>
      <c r="G757" s="3">
        <v>1</v>
      </c>
      <c r="H757">
        <v>27800</v>
      </c>
      <c r="I757">
        <v>27800</v>
      </c>
    </row>
    <row r="758" spans="1:9" x14ac:dyDescent="0.35">
      <c r="A758" t="s">
        <v>802</v>
      </c>
      <c r="B758" s="4">
        <v>46135</v>
      </c>
      <c r="C758" s="3" t="s">
        <v>24</v>
      </c>
      <c r="D758" s="3" t="s">
        <v>25</v>
      </c>
      <c r="E758" t="s">
        <v>54</v>
      </c>
      <c r="F758" t="s">
        <v>55</v>
      </c>
      <c r="G758" s="3">
        <v>1</v>
      </c>
      <c r="H758">
        <v>23700</v>
      </c>
      <c r="I758">
        <v>23700</v>
      </c>
    </row>
    <row r="759" spans="1:9" x14ac:dyDescent="0.35">
      <c r="A759" t="s">
        <v>803</v>
      </c>
      <c r="B759" s="4">
        <v>46131</v>
      </c>
      <c r="C759" s="3" t="s">
        <v>24</v>
      </c>
      <c r="D759" s="3" t="s">
        <v>49</v>
      </c>
      <c r="E759" t="s">
        <v>32</v>
      </c>
      <c r="F759" t="s">
        <v>13</v>
      </c>
      <c r="G759" s="3">
        <v>2</v>
      </c>
      <c r="H759">
        <v>4700</v>
      </c>
      <c r="I759">
        <v>9400</v>
      </c>
    </row>
    <row r="760" spans="1:9" x14ac:dyDescent="0.35">
      <c r="A760" t="s">
        <v>804</v>
      </c>
      <c r="B760" s="4">
        <v>46196</v>
      </c>
      <c r="C760" s="3" t="s">
        <v>34</v>
      </c>
      <c r="D760" s="3" t="s">
        <v>16</v>
      </c>
      <c r="E760" t="s">
        <v>54</v>
      </c>
      <c r="F760" t="s">
        <v>55</v>
      </c>
      <c r="G760" s="3">
        <v>1</v>
      </c>
      <c r="H760">
        <v>24600</v>
      </c>
      <c r="I760">
        <v>24600</v>
      </c>
    </row>
    <row r="761" spans="1:9" x14ac:dyDescent="0.35">
      <c r="A761" t="s">
        <v>805</v>
      </c>
      <c r="B761" s="4">
        <v>46085</v>
      </c>
      <c r="C761" s="3" t="s">
        <v>44</v>
      </c>
      <c r="D761" s="3" t="s">
        <v>25</v>
      </c>
      <c r="E761" t="s">
        <v>21</v>
      </c>
      <c r="F761" t="s">
        <v>22</v>
      </c>
      <c r="G761" s="3">
        <v>7</v>
      </c>
      <c r="H761">
        <v>27700</v>
      </c>
      <c r="I761">
        <v>193900</v>
      </c>
    </row>
    <row r="762" spans="1:9" x14ac:dyDescent="0.35">
      <c r="A762" t="s">
        <v>806</v>
      </c>
      <c r="B762" s="4">
        <v>46179</v>
      </c>
      <c r="C762" s="3" t="s">
        <v>51</v>
      </c>
      <c r="D762" s="3" t="s">
        <v>74</v>
      </c>
      <c r="E762" t="s">
        <v>54</v>
      </c>
      <c r="F762" t="s">
        <v>55</v>
      </c>
      <c r="G762" s="3">
        <v>6</v>
      </c>
      <c r="H762">
        <v>22600</v>
      </c>
      <c r="I762">
        <v>135600</v>
      </c>
    </row>
    <row r="763" spans="1:9" x14ac:dyDescent="0.35">
      <c r="A763" t="s">
        <v>807</v>
      </c>
      <c r="B763" s="4">
        <v>46100</v>
      </c>
      <c r="C763" s="3" t="s">
        <v>34</v>
      </c>
      <c r="D763" s="3" t="s">
        <v>74</v>
      </c>
      <c r="E763" t="s">
        <v>12</v>
      </c>
      <c r="F763" t="s">
        <v>13</v>
      </c>
      <c r="G763" s="3">
        <v>2</v>
      </c>
      <c r="H763">
        <v>2600</v>
      </c>
      <c r="I763">
        <v>5200</v>
      </c>
    </row>
    <row r="764" spans="1:9" x14ac:dyDescent="0.35">
      <c r="A764" t="s">
        <v>808</v>
      </c>
      <c r="B764" s="4">
        <v>46065</v>
      </c>
      <c r="C764" s="3" t="s">
        <v>51</v>
      </c>
      <c r="D764" s="3" t="s">
        <v>36</v>
      </c>
      <c r="E764" t="s">
        <v>61</v>
      </c>
      <c r="F764" t="s">
        <v>13</v>
      </c>
      <c r="G764" s="3">
        <v>6</v>
      </c>
      <c r="H764">
        <v>8600</v>
      </c>
      <c r="I764">
        <v>51600</v>
      </c>
    </row>
    <row r="765" spans="1:9" x14ac:dyDescent="0.35">
      <c r="A765" t="s">
        <v>809</v>
      </c>
      <c r="B765" s="4">
        <v>46030</v>
      </c>
      <c r="C765" s="3" t="s">
        <v>29</v>
      </c>
      <c r="D765" s="3" t="s">
        <v>11</v>
      </c>
      <c r="E765" t="s">
        <v>17</v>
      </c>
      <c r="F765" t="s">
        <v>18</v>
      </c>
      <c r="G765" s="3">
        <v>3</v>
      </c>
      <c r="H765">
        <v>37500</v>
      </c>
      <c r="I765">
        <v>112500</v>
      </c>
    </row>
    <row r="766" spans="1:9" x14ac:dyDescent="0.35">
      <c r="A766" t="s">
        <v>810</v>
      </c>
      <c r="B766" s="4">
        <v>46068</v>
      </c>
      <c r="C766" s="3" t="s">
        <v>51</v>
      </c>
      <c r="D766" s="3" t="s">
        <v>16</v>
      </c>
      <c r="E766" t="s">
        <v>32</v>
      </c>
      <c r="F766" t="s">
        <v>13</v>
      </c>
      <c r="G766" s="3">
        <v>8</v>
      </c>
      <c r="H766">
        <v>4900</v>
      </c>
      <c r="I766">
        <v>39200</v>
      </c>
    </row>
    <row r="767" spans="1:9" x14ac:dyDescent="0.35">
      <c r="A767" t="s">
        <v>811</v>
      </c>
      <c r="B767" s="4">
        <v>46105</v>
      </c>
      <c r="C767" s="3" t="s">
        <v>31</v>
      </c>
      <c r="D767" s="3" t="s">
        <v>36</v>
      </c>
      <c r="E767" t="s">
        <v>21</v>
      </c>
      <c r="F767" t="s">
        <v>22</v>
      </c>
      <c r="G767" s="3">
        <v>3</v>
      </c>
      <c r="H767">
        <v>31500</v>
      </c>
      <c r="I767">
        <v>94500</v>
      </c>
    </row>
    <row r="768" spans="1:9" x14ac:dyDescent="0.35">
      <c r="A768" t="s">
        <v>812</v>
      </c>
      <c r="B768" s="4">
        <v>46029</v>
      </c>
      <c r="C768" s="3" t="s">
        <v>34</v>
      </c>
      <c r="D768" s="3" t="s">
        <v>16</v>
      </c>
      <c r="E768" t="s">
        <v>37</v>
      </c>
      <c r="F768" t="s">
        <v>18</v>
      </c>
      <c r="G768" s="3">
        <v>6</v>
      </c>
      <c r="H768">
        <v>58000</v>
      </c>
      <c r="I768">
        <v>348000</v>
      </c>
    </row>
    <row r="769" spans="1:9" x14ac:dyDescent="0.35">
      <c r="A769" t="s">
        <v>813</v>
      </c>
      <c r="B769" s="4">
        <v>46144</v>
      </c>
      <c r="C769" s="3" t="s">
        <v>20</v>
      </c>
      <c r="D769" s="3" t="s">
        <v>11</v>
      </c>
      <c r="E769" t="s">
        <v>32</v>
      </c>
      <c r="F769" t="s">
        <v>13</v>
      </c>
      <c r="G769" s="3">
        <v>7</v>
      </c>
      <c r="H769">
        <v>4700</v>
      </c>
      <c r="I769">
        <v>32900</v>
      </c>
    </row>
    <row r="770" spans="1:9" x14ac:dyDescent="0.35">
      <c r="A770" t="s">
        <v>814</v>
      </c>
      <c r="B770" s="4">
        <v>46030</v>
      </c>
      <c r="C770" s="3" t="s">
        <v>24</v>
      </c>
      <c r="D770" s="3" t="s">
        <v>49</v>
      </c>
      <c r="E770" t="s">
        <v>26</v>
      </c>
      <c r="F770" t="s">
        <v>18</v>
      </c>
      <c r="G770" s="3">
        <v>5</v>
      </c>
      <c r="H770">
        <v>94700</v>
      </c>
      <c r="I770">
        <v>473500</v>
      </c>
    </row>
    <row r="771" spans="1:9" x14ac:dyDescent="0.35">
      <c r="A771" t="s">
        <v>815</v>
      </c>
      <c r="B771" s="4">
        <v>46155</v>
      </c>
      <c r="C771" s="3" t="s">
        <v>31</v>
      </c>
      <c r="D771" s="3" t="s">
        <v>11</v>
      </c>
      <c r="E771" t="s">
        <v>37</v>
      </c>
      <c r="F771" t="s">
        <v>18</v>
      </c>
      <c r="G771" s="3">
        <v>7</v>
      </c>
      <c r="H771">
        <v>56400</v>
      </c>
      <c r="I771">
        <v>394800</v>
      </c>
    </row>
    <row r="772" spans="1:9" x14ac:dyDescent="0.35">
      <c r="A772" t="s">
        <v>816</v>
      </c>
      <c r="B772" s="4">
        <v>46139</v>
      </c>
      <c r="C772" s="3" t="s">
        <v>39</v>
      </c>
      <c r="D772" s="3" t="s">
        <v>25</v>
      </c>
      <c r="E772" t="s">
        <v>54</v>
      </c>
      <c r="F772" t="s">
        <v>55</v>
      </c>
      <c r="G772" s="3">
        <v>4</v>
      </c>
      <c r="H772">
        <v>21200</v>
      </c>
      <c r="I772">
        <v>84800</v>
      </c>
    </row>
    <row r="773" spans="1:9" x14ac:dyDescent="0.35">
      <c r="A773" t="s">
        <v>817</v>
      </c>
      <c r="B773" s="4">
        <v>46116</v>
      </c>
      <c r="C773" s="3" t="s">
        <v>39</v>
      </c>
      <c r="D773" s="3" t="s">
        <v>16</v>
      </c>
      <c r="E773" t="s">
        <v>63</v>
      </c>
      <c r="F773" t="s">
        <v>55</v>
      </c>
      <c r="G773" s="3">
        <v>3</v>
      </c>
      <c r="H773">
        <v>30600</v>
      </c>
      <c r="I773">
        <v>91800</v>
      </c>
    </row>
    <row r="774" spans="1:9" x14ac:dyDescent="0.35">
      <c r="A774" t="s">
        <v>818</v>
      </c>
      <c r="B774" s="4">
        <v>46108</v>
      </c>
      <c r="C774" s="3" t="s">
        <v>34</v>
      </c>
      <c r="D774" s="3" t="s">
        <v>36</v>
      </c>
      <c r="E774" t="s">
        <v>54</v>
      </c>
      <c r="F774" t="s">
        <v>55</v>
      </c>
      <c r="G774" s="3">
        <v>3</v>
      </c>
      <c r="H774">
        <v>24900</v>
      </c>
      <c r="I774">
        <v>74700</v>
      </c>
    </row>
    <row r="775" spans="1:9" x14ac:dyDescent="0.35">
      <c r="A775" t="s">
        <v>819</v>
      </c>
      <c r="B775" s="4">
        <v>46063</v>
      </c>
      <c r="C775" s="3" t="s">
        <v>44</v>
      </c>
      <c r="D775" s="3" t="s">
        <v>11</v>
      </c>
      <c r="E775" t="s">
        <v>17</v>
      </c>
      <c r="F775" t="s">
        <v>18</v>
      </c>
      <c r="G775" s="3">
        <v>5</v>
      </c>
      <c r="H775">
        <v>39100</v>
      </c>
      <c r="I775">
        <v>195500</v>
      </c>
    </row>
    <row r="776" spans="1:9" x14ac:dyDescent="0.35">
      <c r="A776" t="s">
        <v>820</v>
      </c>
      <c r="B776" s="4">
        <v>46107</v>
      </c>
      <c r="C776" s="3" t="s">
        <v>44</v>
      </c>
      <c r="D776" s="3" t="s">
        <v>25</v>
      </c>
      <c r="E776" t="s">
        <v>63</v>
      </c>
      <c r="F776" t="s">
        <v>55</v>
      </c>
      <c r="G776" s="3">
        <v>7</v>
      </c>
      <c r="H776">
        <v>25800</v>
      </c>
      <c r="I776">
        <v>180600</v>
      </c>
    </row>
    <row r="777" spans="1:9" x14ac:dyDescent="0.35">
      <c r="A777" t="s">
        <v>821</v>
      </c>
      <c r="B777" s="4">
        <v>46170</v>
      </c>
      <c r="C777" s="3" t="s">
        <v>39</v>
      </c>
      <c r="D777" s="3" t="s">
        <v>74</v>
      </c>
      <c r="E777" t="s">
        <v>32</v>
      </c>
      <c r="F777" t="s">
        <v>13</v>
      </c>
      <c r="G777" s="3">
        <v>5</v>
      </c>
      <c r="H777">
        <v>4100</v>
      </c>
      <c r="I777">
        <v>20500</v>
      </c>
    </row>
    <row r="778" spans="1:9" x14ac:dyDescent="0.35">
      <c r="A778" t="s">
        <v>822</v>
      </c>
      <c r="B778" s="4">
        <v>46183</v>
      </c>
      <c r="C778" s="3" t="s">
        <v>65</v>
      </c>
      <c r="D778" s="3" t="s">
        <v>74</v>
      </c>
      <c r="E778" t="s">
        <v>12</v>
      </c>
      <c r="F778" t="s">
        <v>13</v>
      </c>
      <c r="G778" s="3">
        <v>5</v>
      </c>
      <c r="H778">
        <v>2200</v>
      </c>
      <c r="I778">
        <v>11000</v>
      </c>
    </row>
    <row r="779" spans="1:9" x14ac:dyDescent="0.35">
      <c r="A779" t="s">
        <v>823</v>
      </c>
      <c r="B779" s="4">
        <v>46139</v>
      </c>
      <c r="C779" s="3" t="s">
        <v>10</v>
      </c>
      <c r="D779" s="3" t="s">
        <v>16</v>
      </c>
      <c r="E779" t="s">
        <v>32</v>
      </c>
      <c r="F779" t="s">
        <v>13</v>
      </c>
      <c r="G779" s="3">
        <v>2</v>
      </c>
      <c r="H779">
        <v>4400</v>
      </c>
      <c r="I779">
        <v>8800</v>
      </c>
    </row>
    <row r="780" spans="1:9" x14ac:dyDescent="0.35">
      <c r="A780" t="s">
        <v>824</v>
      </c>
      <c r="B780" s="4">
        <v>46135</v>
      </c>
      <c r="C780" s="3" t="s">
        <v>39</v>
      </c>
      <c r="D780" s="3" t="s">
        <v>16</v>
      </c>
      <c r="E780" t="s">
        <v>63</v>
      </c>
      <c r="F780" t="s">
        <v>55</v>
      </c>
      <c r="G780" s="3">
        <v>2</v>
      </c>
      <c r="H780">
        <v>27200</v>
      </c>
      <c r="I780">
        <v>54400</v>
      </c>
    </row>
    <row r="781" spans="1:9" x14ac:dyDescent="0.35">
      <c r="A781" t="s">
        <v>825</v>
      </c>
      <c r="B781" s="4">
        <v>46144</v>
      </c>
      <c r="C781" s="3" t="s">
        <v>24</v>
      </c>
      <c r="D781" s="3" t="s">
        <v>25</v>
      </c>
      <c r="E781" t="s">
        <v>61</v>
      </c>
      <c r="F781" t="s">
        <v>13</v>
      </c>
      <c r="G781" s="3">
        <v>4</v>
      </c>
      <c r="H781">
        <v>7600</v>
      </c>
      <c r="I781">
        <v>30400</v>
      </c>
    </row>
    <row r="782" spans="1:9" x14ac:dyDescent="0.35">
      <c r="A782" t="s">
        <v>826</v>
      </c>
      <c r="B782" s="4">
        <v>46131</v>
      </c>
      <c r="C782" s="3" t="s">
        <v>31</v>
      </c>
      <c r="D782" s="3" t="s">
        <v>74</v>
      </c>
      <c r="E782" t="s">
        <v>37</v>
      </c>
      <c r="F782" t="s">
        <v>18</v>
      </c>
      <c r="G782" s="3">
        <v>5</v>
      </c>
      <c r="H782">
        <v>61200</v>
      </c>
      <c r="I782">
        <v>306000</v>
      </c>
    </row>
    <row r="783" spans="1:9" x14ac:dyDescent="0.35">
      <c r="A783" t="s">
        <v>827</v>
      </c>
      <c r="B783" s="4">
        <v>46035</v>
      </c>
      <c r="C783" s="3" t="s">
        <v>51</v>
      </c>
      <c r="D783" s="3" t="s">
        <v>74</v>
      </c>
      <c r="E783" t="s">
        <v>40</v>
      </c>
      <c r="F783" t="s">
        <v>13</v>
      </c>
      <c r="G783" s="3">
        <v>5</v>
      </c>
      <c r="H783">
        <v>6000</v>
      </c>
      <c r="I783">
        <v>30000</v>
      </c>
    </row>
    <row r="784" spans="1:9" x14ac:dyDescent="0.35">
      <c r="A784" t="s">
        <v>828</v>
      </c>
      <c r="B784" s="4">
        <v>46162</v>
      </c>
      <c r="C784" s="3" t="s">
        <v>51</v>
      </c>
      <c r="D784" s="3" t="s">
        <v>25</v>
      </c>
      <c r="E784" t="s">
        <v>61</v>
      </c>
      <c r="F784" t="s">
        <v>13</v>
      </c>
      <c r="G784" s="3">
        <v>5</v>
      </c>
      <c r="H784">
        <v>7000</v>
      </c>
      <c r="I784">
        <v>35000</v>
      </c>
    </row>
    <row r="785" spans="1:9" x14ac:dyDescent="0.35">
      <c r="A785" t="s">
        <v>829</v>
      </c>
      <c r="B785" s="4">
        <v>46189</v>
      </c>
      <c r="C785" s="3" t="s">
        <v>39</v>
      </c>
      <c r="D785" s="3" t="s">
        <v>25</v>
      </c>
      <c r="E785" t="s">
        <v>21</v>
      </c>
      <c r="F785" t="s">
        <v>22</v>
      </c>
      <c r="G785" s="3">
        <v>2</v>
      </c>
      <c r="H785">
        <v>30800</v>
      </c>
      <c r="I785">
        <v>61600</v>
      </c>
    </row>
    <row r="786" spans="1:9" x14ac:dyDescent="0.35">
      <c r="A786" t="s">
        <v>830</v>
      </c>
      <c r="B786" s="4">
        <v>46124</v>
      </c>
      <c r="C786" s="3" t="s">
        <v>20</v>
      </c>
      <c r="D786" s="3" t="s">
        <v>25</v>
      </c>
      <c r="E786" t="s">
        <v>32</v>
      </c>
      <c r="F786" t="s">
        <v>13</v>
      </c>
      <c r="G786" s="3">
        <v>1</v>
      </c>
      <c r="H786">
        <v>5200</v>
      </c>
      <c r="I786">
        <v>5200</v>
      </c>
    </row>
    <row r="787" spans="1:9" x14ac:dyDescent="0.35">
      <c r="A787" t="s">
        <v>831</v>
      </c>
      <c r="B787" s="4">
        <v>46086</v>
      </c>
      <c r="C787" s="3" t="s">
        <v>31</v>
      </c>
      <c r="D787" s="3" t="s">
        <v>49</v>
      </c>
      <c r="E787" t="s">
        <v>32</v>
      </c>
      <c r="F787" t="s">
        <v>13</v>
      </c>
      <c r="G787" s="3">
        <v>8</v>
      </c>
      <c r="H787">
        <v>4300</v>
      </c>
      <c r="I787">
        <v>34400</v>
      </c>
    </row>
    <row r="788" spans="1:9" x14ac:dyDescent="0.35">
      <c r="A788" t="s">
        <v>832</v>
      </c>
      <c r="B788" s="4">
        <v>46173</v>
      </c>
      <c r="C788" s="3" t="s">
        <v>24</v>
      </c>
      <c r="D788" s="3" t="s">
        <v>74</v>
      </c>
      <c r="E788" t="s">
        <v>21</v>
      </c>
      <c r="F788" t="s">
        <v>22</v>
      </c>
      <c r="G788" s="3">
        <v>3</v>
      </c>
      <c r="H788">
        <v>28500</v>
      </c>
      <c r="I788">
        <v>85500</v>
      </c>
    </row>
    <row r="789" spans="1:9" x14ac:dyDescent="0.35">
      <c r="A789" t="s">
        <v>833</v>
      </c>
      <c r="B789" s="4">
        <v>46053</v>
      </c>
      <c r="C789" s="3" t="s">
        <v>65</v>
      </c>
      <c r="D789" s="3" t="s">
        <v>11</v>
      </c>
      <c r="E789" t="s">
        <v>37</v>
      </c>
      <c r="F789" t="s">
        <v>18</v>
      </c>
      <c r="G789" s="3">
        <v>7</v>
      </c>
      <c r="H789">
        <v>62100</v>
      </c>
      <c r="I789">
        <v>434700</v>
      </c>
    </row>
    <row r="790" spans="1:9" x14ac:dyDescent="0.35">
      <c r="A790" t="s">
        <v>834</v>
      </c>
      <c r="B790" s="4">
        <v>46198</v>
      </c>
      <c r="C790" s="3" t="s">
        <v>39</v>
      </c>
      <c r="D790" s="3" t="s">
        <v>16</v>
      </c>
      <c r="E790" t="s">
        <v>54</v>
      </c>
      <c r="F790" t="s">
        <v>55</v>
      </c>
      <c r="G790" s="3">
        <v>5</v>
      </c>
      <c r="H790">
        <v>19800</v>
      </c>
      <c r="I790">
        <v>99000</v>
      </c>
    </row>
    <row r="791" spans="1:9" x14ac:dyDescent="0.35">
      <c r="A791" t="s">
        <v>835</v>
      </c>
      <c r="B791" s="4">
        <v>46162</v>
      </c>
      <c r="C791" s="3" t="s">
        <v>46</v>
      </c>
      <c r="D791" s="3" t="s">
        <v>11</v>
      </c>
      <c r="E791" t="s">
        <v>17</v>
      </c>
      <c r="F791" t="s">
        <v>18</v>
      </c>
      <c r="G791" s="3">
        <v>4</v>
      </c>
      <c r="H791">
        <v>36000</v>
      </c>
      <c r="I791">
        <v>144000</v>
      </c>
    </row>
    <row r="792" spans="1:9" x14ac:dyDescent="0.35">
      <c r="A792" t="s">
        <v>836</v>
      </c>
      <c r="B792" s="4">
        <v>46047</v>
      </c>
      <c r="C792" s="3" t="s">
        <v>51</v>
      </c>
      <c r="D792" s="3" t="s">
        <v>49</v>
      </c>
      <c r="E792" t="s">
        <v>63</v>
      </c>
      <c r="F792" t="s">
        <v>55</v>
      </c>
      <c r="G792" s="3">
        <v>2</v>
      </c>
      <c r="H792">
        <v>26700</v>
      </c>
      <c r="I792">
        <v>53400</v>
      </c>
    </row>
    <row r="793" spans="1:9" x14ac:dyDescent="0.35">
      <c r="A793" t="s">
        <v>837</v>
      </c>
      <c r="B793" s="4">
        <v>46136</v>
      </c>
      <c r="C793" s="3" t="s">
        <v>20</v>
      </c>
      <c r="D793" s="3" t="s">
        <v>25</v>
      </c>
      <c r="E793" t="s">
        <v>37</v>
      </c>
      <c r="F793" t="s">
        <v>18</v>
      </c>
      <c r="G793" s="3">
        <v>8</v>
      </c>
      <c r="H793">
        <v>53600</v>
      </c>
      <c r="I793">
        <v>428800</v>
      </c>
    </row>
    <row r="794" spans="1:9" x14ac:dyDescent="0.35">
      <c r="A794" t="s">
        <v>838</v>
      </c>
      <c r="B794" s="4">
        <v>46137</v>
      </c>
      <c r="C794" s="3" t="s">
        <v>46</v>
      </c>
      <c r="D794" s="3" t="s">
        <v>25</v>
      </c>
      <c r="E794" t="s">
        <v>54</v>
      </c>
      <c r="F794" t="s">
        <v>55</v>
      </c>
      <c r="G794" s="3">
        <v>3</v>
      </c>
      <c r="H794">
        <v>19500</v>
      </c>
      <c r="I794">
        <v>58500</v>
      </c>
    </row>
    <row r="795" spans="1:9" x14ac:dyDescent="0.35">
      <c r="A795" t="s">
        <v>839</v>
      </c>
      <c r="B795" s="4">
        <v>46060</v>
      </c>
      <c r="C795" s="3" t="s">
        <v>34</v>
      </c>
      <c r="D795" s="3" t="s">
        <v>74</v>
      </c>
      <c r="E795" t="s">
        <v>54</v>
      </c>
      <c r="F795" t="s">
        <v>55</v>
      </c>
      <c r="G795" s="3">
        <v>3</v>
      </c>
      <c r="H795">
        <v>21500</v>
      </c>
      <c r="I795">
        <v>64500</v>
      </c>
    </row>
    <row r="796" spans="1:9" x14ac:dyDescent="0.35">
      <c r="A796" t="s">
        <v>840</v>
      </c>
      <c r="B796" s="4">
        <v>46051</v>
      </c>
      <c r="C796" s="3" t="s">
        <v>29</v>
      </c>
      <c r="D796" s="3" t="s">
        <v>74</v>
      </c>
      <c r="E796" t="s">
        <v>21</v>
      </c>
      <c r="F796" t="s">
        <v>22</v>
      </c>
      <c r="G796" s="3">
        <v>7</v>
      </c>
      <c r="H796">
        <v>29200</v>
      </c>
      <c r="I796">
        <v>204400</v>
      </c>
    </row>
    <row r="797" spans="1:9" x14ac:dyDescent="0.35">
      <c r="A797" t="s">
        <v>841</v>
      </c>
      <c r="B797" s="4">
        <v>46150</v>
      </c>
      <c r="C797" s="3" t="s">
        <v>39</v>
      </c>
      <c r="D797" s="3" t="s">
        <v>16</v>
      </c>
      <c r="E797" t="s">
        <v>37</v>
      </c>
      <c r="F797" t="s">
        <v>18</v>
      </c>
      <c r="G797" s="3">
        <v>5</v>
      </c>
      <c r="H797">
        <v>59700</v>
      </c>
      <c r="I797">
        <v>298500</v>
      </c>
    </row>
    <row r="798" spans="1:9" x14ac:dyDescent="0.35">
      <c r="A798" t="s">
        <v>842</v>
      </c>
      <c r="B798" s="4">
        <v>46130</v>
      </c>
      <c r="C798" s="3" t="s">
        <v>46</v>
      </c>
      <c r="D798" s="3" t="s">
        <v>16</v>
      </c>
      <c r="E798" t="s">
        <v>26</v>
      </c>
      <c r="F798" t="s">
        <v>18</v>
      </c>
      <c r="G798" s="3">
        <v>7</v>
      </c>
      <c r="H798">
        <v>83400</v>
      </c>
      <c r="I798">
        <v>583800</v>
      </c>
    </row>
    <row r="799" spans="1:9" x14ac:dyDescent="0.35">
      <c r="A799" t="s">
        <v>843</v>
      </c>
      <c r="B799" s="4">
        <v>46074</v>
      </c>
      <c r="C799" s="3" t="s">
        <v>65</v>
      </c>
      <c r="D799" s="3" t="s">
        <v>74</v>
      </c>
      <c r="E799" t="s">
        <v>12</v>
      </c>
      <c r="F799" t="s">
        <v>13</v>
      </c>
      <c r="G799" s="3">
        <v>5</v>
      </c>
      <c r="H799">
        <v>2300</v>
      </c>
      <c r="I799">
        <v>11500</v>
      </c>
    </row>
    <row r="800" spans="1:9" x14ac:dyDescent="0.35">
      <c r="A800" t="s">
        <v>844</v>
      </c>
      <c r="B800" s="4">
        <v>46146</v>
      </c>
      <c r="C800" s="3" t="s">
        <v>15</v>
      </c>
      <c r="D800" s="3" t="s">
        <v>36</v>
      </c>
      <c r="E800" t="s">
        <v>21</v>
      </c>
      <c r="F800" t="s">
        <v>22</v>
      </c>
      <c r="G800" s="3">
        <v>6</v>
      </c>
      <c r="H800">
        <v>27900</v>
      </c>
      <c r="I800">
        <v>167400</v>
      </c>
    </row>
    <row r="801" spans="1:9" x14ac:dyDescent="0.35">
      <c r="A801" t="s">
        <v>845</v>
      </c>
      <c r="B801" s="4">
        <v>46167</v>
      </c>
      <c r="C801" s="3" t="s">
        <v>29</v>
      </c>
      <c r="D801" s="3" t="s">
        <v>49</v>
      </c>
      <c r="E801" t="s">
        <v>63</v>
      </c>
      <c r="F801" t="s">
        <v>55</v>
      </c>
      <c r="G801" s="3">
        <v>2</v>
      </c>
      <c r="H801">
        <v>33800</v>
      </c>
      <c r="I801">
        <v>67600</v>
      </c>
    </row>
    <row r="802" spans="1:9" x14ac:dyDescent="0.35">
      <c r="A802" t="s">
        <v>846</v>
      </c>
      <c r="B802" s="4">
        <v>46110</v>
      </c>
      <c r="C802" s="3" t="s">
        <v>29</v>
      </c>
      <c r="D802" s="3" t="s">
        <v>74</v>
      </c>
      <c r="E802" t="s">
        <v>54</v>
      </c>
      <c r="F802" t="s">
        <v>55</v>
      </c>
      <c r="G802" s="3">
        <v>2</v>
      </c>
      <c r="H802">
        <v>22000</v>
      </c>
      <c r="I802">
        <v>44000</v>
      </c>
    </row>
    <row r="803" spans="1:9" x14ac:dyDescent="0.35">
      <c r="A803" t="s">
        <v>847</v>
      </c>
      <c r="B803" s="4">
        <v>46091</v>
      </c>
      <c r="C803" s="3" t="s">
        <v>44</v>
      </c>
      <c r="D803" s="3" t="s">
        <v>36</v>
      </c>
      <c r="E803" t="s">
        <v>40</v>
      </c>
      <c r="F803" t="s">
        <v>13</v>
      </c>
      <c r="G803" s="3">
        <v>3</v>
      </c>
      <c r="H803">
        <v>6300</v>
      </c>
      <c r="I803">
        <v>18900</v>
      </c>
    </row>
    <row r="804" spans="1:9" x14ac:dyDescent="0.35">
      <c r="A804" t="s">
        <v>848</v>
      </c>
      <c r="B804" s="4">
        <v>46097</v>
      </c>
      <c r="C804" s="3" t="s">
        <v>51</v>
      </c>
      <c r="D804" s="3" t="s">
        <v>25</v>
      </c>
      <c r="E804" t="s">
        <v>61</v>
      </c>
      <c r="F804" t="s">
        <v>13</v>
      </c>
      <c r="G804" s="3">
        <v>2</v>
      </c>
      <c r="H804">
        <v>7300</v>
      </c>
      <c r="I804">
        <v>14600</v>
      </c>
    </row>
    <row r="805" spans="1:9" x14ac:dyDescent="0.35">
      <c r="A805" t="s">
        <v>849</v>
      </c>
      <c r="B805" s="4">
        <v>46082</v>
      </c>
      <c r="C805" s="3" t="s">
        <v>29</v>
      </c>
      <c r="D805" s="3" t="s">
        <v>25</v>
      </c>
      <c r="E805" t="s">
        <v>21</v>
      </c>
      <c r="F805" t="s">
        <v>22</v>
      </c>
      <c r="G805" s="3">
        <v>6</v>
      </c>
      <c r="H805">
        <v>27600</v>
      </c>
      <c r="I805">
        <v>165600</v>
      </c>
    </row>
    <row r="806" spans="1:9" x14ac:dyDescent="0.35">
      <c r="A806" t="s">
        <v>850</v>
      </c>
      <c r="B806" s="4">
        <v>46077</v>
      </c>
      <c r="C806" s="3" t="s">
        <v>31</v>
      </c>
      <c r="D806" s="3" t="s">
        <v>74</v>
      </c>
      <c r="E806" t="s">
        <v>63</v>
      </c>
      <c r="F806" t="s">
        <v>55</v>
      </c>
      <c r="G806" s="3">
        <v>7</v>
      </c>
      <c r="H806">
        <v>32400</v>
      </c>
      <c r="I806">
        <v>226800</v>
      </c>
    </row>
    <row r="807" spans="1:9" x14ac:dyDescent="0.35">
      <c r="A807" t="s">
        <v>851</v>
      </c>
      <c r="B807" s="4">
        <v>46034</v>
      </c>
      <c r="C807" s="3" t="s">
        <v>65</v>
      </c>
      <c r="D807" s="3" t="s">
        <v>16</v>
      </c>
      <c r="E807" t="s">
        <v>12</v>
      </c>
      <c r="F807" t="s">
        <v>13</v>
      </c>
      <c r="G807" s="3">
        <v>4</v>
      </c>
      <c r="H807">
        <v>2200</v>
      </c>
      <c r="I807">
        <v>8800</v>
      </c>
    </row>
    <row r="808" spans="1:9" x14ac:dyDescent="0.35">
      <c r="A808" t="s">
        <v>852</v>
      </c>
      <c r="B808" s="4">
        <v>46203</v>
      </c>
      <c r="C808" s="3" t="s">
        <v>65</v>
      </c>
      <c r="D808" s="3" t="s">
        <v>74</v>
      </c>
      <c r="E808" t="s">
        <v>32</v>
      </c>
      <c r="F808" t="s">
        <v>13</v>
      </c>
      <c r="G808" s="3">
        <v>3</v>
      </c>
      <c r="H808">
        <v>4300</v>
      </c>
      <c r="I808">
        <v>12900</v>
      </c>
    </row>
    <row r="809" spans="1:9" x14ac:dyDescent="0.35">
      <c r="A809" t="s">
        <v>853</v>
      </c>
      <c r="B809" s="4">
        <v>46049</v>
      </c>
      <c r="C809" s="3" t="s">
        <v>24</v>
      </c>
      <c r="D809" s="3" t="s">
        <v>11</v>
      </c>
      <c r="E809" t="s">
        <v>40</v>
      </c>
      <c r="F809" t="s">
        <v>13</v>
      </c>
      <c r="G809" s="3">
        <v>3</v>
      </c>
      <c r="H809">
        <v>6300</v>
      </c>
      <c r="I809">
        <v>18900</v>
      </c>
    </row>
    <row r="810" spans="1:9" x14ac:dyDescent="0.35">
      <c r="A810" t="s">
        <v>854</v>
      </c>
      <c r="B810" s="4">
        <v>46102</v>
      </c>
      <c r="C810" s="3" t="s">
        <v>24</v>
      </c>
      <c r="D810" s="3" t="s">
        <v>36</v>
      </c>
      <c r="E810" t="s">
        <v>26</v>
      </c>
      <c r="F810" t="s">
        <v>18</v>
      </c>
      <c r="G810" s="3">
        <v>4</v>
      </c>
      <c r="H810">
        <v>90300</v>
      </c>
      <c r="I810">
        <v>361200</v>
      </c>
    </row>
    <row r="811" spans="1:9" x14ac:dyDescent="0.35">
      <c r="A811" t="s">
        <v>855</v>
      </c>
      <c r="B811" s="4">
        <v>46147</v>
      </c>
      <c r="C811" s="3" t="s">
        <v>39</v>
      </c>
      <c r="D811" s="3" t="s">
        <v>11</v>
      </c>
      <c r="E811" t="s">
        <v>63</v>
      </c>
      <c r="F811" t="s">
        <v>55</v>
      </c>
      <c r="G811" s="3">
        <v>3</v>
      </c>
      <c r="H811">
        <v>30600</v>
      </c>
      <c r="I811">
        <v>91800</v>
      </c>
    </row>
    <row r="812" spans="1:9" x14ac:dyDescent="0.35">
      <c r="A812" t="s">
        <v>856</v>
      </c>
      <c r="B812" s="4">
        <v>46144</v>
      </c>
      <c r="C812" s="3" t="s">
        <v>51</v>
      </c>
      <c r="D812" s="3" t="s">
        <v>25</v>
      </c>
      <c r="E812" t="s">
        <v>63</v>
      </c>
      <c r="F812" t="s">
        <v>55</v>
      </c>
      <c r="G812" s="3">
        <v>8</v>
      </c>
      <c r="H812">
        <v>27700</v>
      </c>
      <c r="I812">
        <v>221600</v>
      </c>
    </row>
    <row r="813" spans="1:9" x14ac:dyDescent="0.35">
      <c r="A813" t="s">
        <v>857</v>
      </c>
      <c r="B813" s="4">
        <v>46176</v>
      </c>
      <c r="C813" s="3" t="s">
        <v>44</v>
      </c>
      <c r="D813" s="3" t="s">
        <v>74</v>
      </c>
      <c r="E813" t="s">
        <v>17</v>
      </c>
      <c r="F813" t="s">
        <v>18</v>
      </c>
      <c r="G813" s="3">
        <v>4</v>
      </c>
      <c r="H813">
        <v>35600</v>
      </c>
      <c r="I813">
        <v>142400</v>
      </c>
    </row>
    <row r="814" spans="1:9" x14ac:dyDescent="0.35">
      <c r="A814" t="s">
        <v>858</v>
      </c>
      <c r="B814" s="4">
        <v>46174</v>
      </c>
      <c r="C814" s="3" t="s">
        <v>39</v>
      </c>
      <c r="D814" s="3" t="s">
        <v>36</v>
      </c>
      <c r="E814" t="s">
        <v>61</v>
      </c>
      <c r="F814" t="s">
        <v>13</v>
      </c>
      <c r="G814" s="3">
        <v>1</v>
      </c>
      <c r="H814">
        <v>7100</v>
      </c>
      <c r="I814">
        <v>7100</v>
      </c>
    </row>
    <row r="815" spans="1:9" x14ac:dyDescent="0.35">
      <c r="A815" t="s">
        <v>859</v>
      </c>
      <c r="B815" s="4">
        <v>46157</v>
      </c>
      <c r="C815" s="3" t="s">
        <v>15</v>
      </c>
      <c r="D815" s="3" t="s">
        <v>36</v>
      </c>
      <c r="E815" t="s">
        <v>40</v>
      </c>
      <c r="F815" t="s">
        <v>13</v>
      </c>
      <c r="G815" s="3">
        <v>7</v>
      </c>
      <c r="H815">
        <v>5800</v>
      </c>
      <c r="I815">
        <v>40600</v>
      </c>
    </row>
    <row r="816" spans="1:9" x14ac:dyDescent="0.35">
      <c r="A816" t="s">
        <v>860</v>
      </c>
      <c r="B816" s="4">
        <v>46185</v>
      </c>
      <c r="C816" s="3" t="s">
        <v>15</v>
      </c>
      <c r="D816" s="3" t="s">
        <v>16</v>
      </c>
      <c r="E816" t="s">
        <v>63</v>
      </c>
      <c r="F816" t="s">
        <v>55</v>
      </c>
      <c r="G816" s="3">
        <v>8</v>
      </c>
      <c r="H816">
        <v>31200</v>
      </c>
      <c r="I816">
        <v>249600</v>
      </c>
    </row>
    <row r="817" spans="1:9" x14ac:dyDescent="0.35">
      <c r="A817" t="s">
        <v>861</v>
      </c>
      <c r="B817" s="4">
        <v>46119</v>
      </c>
      <c r="C817" s="3" t="s">
        <v>15</v>
      </c>
      <c r="D817" s="3" t="s">
        <v>16</v>
      </c>
      <c r="E817" t="s">
        <v>40</v>
      </c>
      <c r="F817" t="s">
        <v>13</v>
      </c>
      <c r="G817" s="3">
        <v>5</v>
      </c>
      <c r="H817">
        <v>6900</v>
      </c>
      <c r="I817">
        <v>34500</v>
      </c>
    </row>
    <row r="818" spans="1:9" x14ac:dyDescent="0.35">
      <c r="A818" t="s">
        <v>862</v>
      </c>
      <c r="B818" s="4">
        <v>46175</v>
      </c>
      <c r="C818" s="3" t="s">
        <v>31</v>
      </c>
      <c r="D818" s="3" t="s">
        <v>74</v>
      </c>
      <c r="E818" t="s">
        <v>26</v>
      </c>
      <c r="F818" t="s">
        <v>18</v>
      </c>
      <c r="G818" s="3">
        <v>1</v>
      </c>
      <c r="H818">
        <v>97300</v>
      </c>
      <c r="I818">
        <v>97300</v>
      </c>
    </row>
    <row r="819" spans="1:9" x14ac:dyDescent="0.35">
      <c r="A819" t="s">
        <v>863</v>
      </c>
      <c r="B819" s="4">
        <v>46138</v>
      </c>
      <c r="C819" s="3" t="s">
        <v>20</v>
      </c>
      <c r="D819" s="3" t="s">
        <v>11</v>
      </c>
      <c r="E819" t="s">
        <v>63</v>
      </c>
      <c r="F819" t="s">
        <v>55</v>
      </c>
      <c r="G819" s="3">
        <v>2</v>
      </c>
      <c r="H819">
        <v>32400</v>
      </c>
      <c r="I819">
        <v>64800</v>
      </c>
    </row>
    <row r="820" spans="1:9" x14ac:dyDescent="0.35">
      <c r="A820" t="s">
        <v>864</v>
      </c>
      <c r="B820" s="4">
        <v>46200</v>
      </c>
      <c r="C820" s="3" t="s">
        <v>46</v>
      </c>
      <c r="D820" s="3" t="s">
        <v>11</v>
      </c>
      <c r="E820" t="s">
        <v>32</v>
      </c>
      <c r="F820" t="s">
        <v>13</v>
      </c>
      <c r="G820" s="3">
        <v>3</v>
      </c>
      <c r="H820">
        <v>4100</v>
      </c>
      <c r="I820">
        <v>12300</v>
      </c>
    </row>
    <row r="821" spans="1:9" x14ac:dyDescent="0.35">
      <c r="A821" t="s">
        <v>865</v>
      </c>
      <c r="B821" s="4">
        <v>46169</v>
      </c>
      <c r="C821" s="3" t="s">
        <v>39</v>
      </c>
      <c r="D821" s="3" t="s">
        <v>36</v>
      </c>
      <c r="E821" t="s">
        <v>21</v>
      </c>
      <c r="F821" t="s">
        <v>22</v>
      </c>
      <c r="G821" s="3">
        <v>5</v>
      </c>
      <c r="H821">
        <v>30700</v>
      </c>
      <c r="I821">
        <v>153500</v>
      </c>
    </row>
    <row r="822" spans="1:9" x14ac:dyDescent="0.35">
      <c r="A822" t="s">
        <v>866</v>
      </c>
      <c r="B822" s="4">
        <v>46077</v>
      </c>
      <c r="C822" s="3" t="s">
        <v>46</v>
      </c>
      <c r="D822" s="3" t="s">
        <v>49</v>
      </c>
      <c r="E822" t="s">
        <v>26</v>
      </c>
      <c r="F822" t="s">
        <v>18</v>
      </c>
      <c r="G822" s="3">
        <v>4</v>
      </c>
      <c r="H822">
        <v>79900</v>
      </c>
      <c r="I822">
        <v>319600</v>
      </c>
    </row>
    <row r="823" spans="1:9" x14ac:dyDescent="0.35">
      <c r="A823" t="s">
        <v>867</v>
      </c>
      <c r="B823" s="4">
        <v>46200</v>
      </c>
      <c r="C823" s="3" t="s">
        <v>34</v>
      </c>
      <c r="D823" s="3" t="s">
        <v>49</v>
      </c>
      <c r="E823" t="s">
        <v>32</v>
      </c>
      <c r="F823" t="s">
        <v>13</v>
      </c>
      <c r="G823" s="3">
        <v>3</v>
      </c>
      <c r="H823">
        <v>4500</v>
      </c>
      <c r="I823">
        <v>13500</v>
      </c>
    </row>
    <row r="824" spans="1:9" x14ac:dyDescent="0.35">
      <c r="A824" t="s">
        <v>868</v>
      </c>
      <c r="B824" s="4">
        <v>46123</v>
      </c>
      <c r="C824" s="3" t="s">
        <v>29</v>
      </c>
      <c r="D824" s="3" t="s">
        <v>74</v>
      </c>
      <c r="E824" t="s">
        <v>54</v>
      </c>
      <c r="F824" t="s">
        <v>55</v>
      </c>
      <c r="G824" s="3">
        <v>3</v>
      </c>
      <c r="H824">
        <v>22900</v>
      </c>
      <c r="I824">
        <v>68700</v>
      </c>
    </row>
    <row r="825" spans="1:9" x14ac:dyDescent="0.35">
      <c r="A825" t="s">
        <v>869</v>
      </c>
      <c r="B825" s="4">
        <v>46198</v>
      </c>
      <c r="C825" s="3" t="s">
        <v>46</v>
      </c>
      <c r="D825" s="3" t="s">
        <v>49</v>
      </c>
      <c r="E825" t="s">
        <v>61</v>
      </c>
      <c r="F825" t="s">
        <v>13</v>
      </c>
      <c r="G825" s="3">
        <v>6</v>
      </c>
      <c r="H825">
        <v>7800</v>
      </c>
      <c r="I825">
        <v>46800</v>
      </c>
    </row>
    <row r="826" spans="1:9" x14ac:dyDescent="0.35">
      <c r="A826" t="s">
        <v>870</v>
      </c>
      <c r="B826" s="4">
        <v>46164</v>
      </c>
      <c r="C826" s="3" t="s">
        <v>29</v>
      </c>
      <c r="D826" s="3" t="s">
        <v>74</v>
      </c>
      <c r="E826" t="s">
        <v>17</v>
      </c>
      <c r="F826" t="s">
        <v>18</v>
      </c>
      <c r="G826" s="3">
        <v>1</v>
      </c>
      <c r="H826">
        <v>30700</v>
      </c>
      <c r="I826">
        <v>30700</v>
      </c>
    </row>
    <row r="827" spans="1:9" x14ac:dyDescent="0.35">
      <c r="A827" t="s">
        <v>871</v>
      </c>
      <c r="B827" s="4">
        <v>46179</v>
      </c>
      <c r="C827" s="3" t="s">
        <v>15</v>
      </c>
      <c r="D827" s="3" t="s">
        <v>36</v>
      </c>
      <c r="E827" t="s">
        <v>17</v>
      </c>
      <c r="F827" t="s">
        <v>18</v>
      </c>
      <c r="G827" s="3">
        <v>7</v>
      </c>
      <c r="H827">
        <v>31000</v>
      </c>
      <c r="I827">
        <v>217000</v>
      </c>
    </row>
    <row r="828" spans="1:9" x14ac:dyDescent="0.35">
      <c r="A828" t="s">
        <v>872</v>
      </c>
      <c r="B828" s="4">
        <v>46169</v>
      </c>
      <c r="C828" s="3" t="s">
        <v>51</v>
      </c>
      <c r="D828" s="3" t="s">
        <v>36</v>
      </c>
      <c r="E828" t="s">
        <v>21</v>
      </c>
      <c r="F828" t="s">
        <v>22</v>
      </c>
      <c r="G828" s="3">
        <v>7</v>
      </c>
      <c r="H828">
        <v>29100</v>
      </c>
      <c r="I828">
        <v>203700</v>
      </c>
    </row>
    <row r="829" spans="1:9" x14ac:dyDescent="0.35">
      <c r="A829" t="s">
        <v>873</v>
      </c>
      <c r="B829" s="4">
        <v>46187</v>
      </c>
      <c r="C829" s="3" t="s">
        <v>34</v>
      </c>
      <c r="D829" s="3" t="s">
        <v>74</v>
      </c>
      <c r="E829" t="s">
        <v>61</v>
      </c>
      <c r="F829" t="s">
        <v>13</v>
      </c>
      <c r="G829" s="3">
        <v>2</v>
      </c>
      <c r="H829">
        <v>8400</v>
      </c>
      <c r="I829">
        <v>16800</v>
      </c>
    </row>
    <row r="830" spans="1:9" x14ac:dyDescent="0.35">
      <c r="A830" t="s">
        <v>874</v>
      </c>
      <c r="B830" s="4">
        <v>46167</v>
      </c>
      <c r="C830" s="3" t="s">
        <v>29</v>
      </c>
      <c r="D830" s="3" t="s">
        <v>36</v>
      </c>
      <c r="E830" t="s">
        <v>61</v>
      </c>
      <c r="F830" t="s">
        <v>13</v>
      </c>
      <c r="G830" s="3">
        <v>6</v>
      </c>
      <c r="H830">
        <v>7000</v>
      </c>
      <c r="I830">
        <v>42000</v>
      </c>
    </row>
    <row r="831" spans="1:9" x14ac:dyDescent="0.35">
      <c r="A831" t="s">
        <v>875</v>
      </c>
      <c r="B831" s="4">
        <v>46184</v>
      </c>
      <c r="C831" s="3" t="s">
        <v>31</v>
      </c>
      <c r="D831" s="3" t="s">
        <v>74</v>
      </c>
      <c r="E831" t="s">
        <v>17</v>
      </c>
      <c r="F831" t="s">
        <v>18</v>
      </c>
      <c r="G831" s="3">
        <v>1</v>
      </c>
      <c r="H831">
        <v>38700</v>
      </c>
      <c r="I831">
        <v>38700</v>
      </c>
    </row>
    <row r="832" spans="1:9" x14ac:dyDescent="0.35">
      <c r="A832" t="s">
        <v>876</v>
      </c>
      <c r="B832" s="4">
        <v>46023</v>
      </c>
      <c r="C832" s="3" t="s">
        <v>44</v>
      </c>
      <c r="D832" s="3" t="s">
        <v>25</v>
      </c>
      <c r="E832" t="s">
        <v>40</v>
      </c>
      <c r="F832" t="s">
        <v>13</v>
      </c>
      <c r="G832" s="3">
        <v>1</v>
      </c>
      <c r="H832">
        <v>6300</v>
      </c>
      <c r="I832">
        <v>6300</v>
      </c>
    </row>
    <row r="833" spans="1:9" x14ac:dyDescent="0.35">
      <c r="A833" t="s">
        <v>877</v>
      </c>
      <c r="B833" s="4">
        <v>46098</v>
      </c>
      <c r="C833" s="3" t="s">
        <v>34</v>
      </c>
      <c r="D833" s="3" t="s">
        <v>25</v>
      </c>
      <c r="E833" t="s">
        <v>21</v>
      </c>
      <c r="F833" t="s">
        <v>22</v>
      </c>
      <c r="G833" s="3">
        <v>8</v>
      </c>
      <c r="H833">
        <v>27900</v>
      </c>
      <c r="I833">
        <v>223200</v>
      </c>
    </row>
    <row r="834" spans="1:9" x14ac:dyDescent="0.35">
      <c r="A834" t="s">
        <v>878</v>
      </c>
      <c r="B834" s="4">
        <v>46140</v>
      </c>
      <c r="C834" s="3" t="s">
        <v>34</v>
      </c>
      <c r="D834" s="3" t="s">
        <v>16</v>
      </c>
      <c r="E834" t="s">
        <v>12</v>
      </c>
      <c r="F834" t="s">
        <v>13</v>
      </c>
      <c r="G834" s="3">
        <v>6</v>
      </c>
      <c r="H834">
        <v>2800</v>
      </c>
      <c r="I834">
        <v>16800</v>
      </c>
    </row>
    <row r="835" spans="1:9" x14ac:dyDescent="0.35">
      <c r="A835" t="s">
        <v>879</v>
      </c>
      <c r="B835" s="4">
        <v>46060</v>
      </c>
      <c r="C835" s="3" t="s">
        <v>29</v>
      </c>
      <c r="D835" s="3" t="s">
        <v>25</v>
      </c>
      <c r="E835" t="s">
        <v>17</v>
      </c>
      <c r="F835" t="s">
        <v>18</v>
      </c>
      <c r="G835" s="3">
        <v>2</v>
      </c>
      <c r="H835">
        <v>33100</v>
      </c>
      <c r="I835">
        <v>66200</v>
      </c>
    </row>
    <row r="836" spans="1:9" x14ac:dyDescent="0.35">
      <c r="A836" t="s">
        <v>880</v>
      </c>
      <c r="B836" s="4">
        <v>46062</v>
      </c>
      <c r="C836" s="3" t="s">
        <v>65</v>
      </c>
      <c r="D836" s="3" t="s">
        <v>49</v>
      </c>
      <c r="E836" t="s">
        <v>32</v>
      </c>
      <c r="F836" t="s">
        <v>13</v>
      </c>
      <c r="G836" s="3">
        <v>7</v>
      </c>
      <c r="H836">
        <v>4300</v>
      </c>
      <c r="I836">
        <v>30100</v>
      </c>
    </row>
    <row r="837" spans="1:9" x14ac:dyDescent="0.35">
      <c r="A837" t="s">
        <v>881</v>
      </c>
      <c r="B837" s="4">
        <v>46184</v>
      </c>
      <c r="C837" s="3" t="s">
        <v>65</v>
      </c>
      <c r="D837" s="3" t="s">
        <v>11</v>
      </c>
      <c r="E837" t="s">
        <v>26</v>
      </c>
      <c r="F837" t="s">
        <v>18</v>
      </c>
      <c r="G837" s="3">
        <v>2</v>
      </c>
      <c r="H837">
        <v>77600</v>
      </c>
      <c r="I837">
        <v>155200</v>
      </c>
    </row>
    <row r="838" spans="1:9" x14ac:dyDescent="0.35">
      <c r="A838" t="s">
        <v>882</v>
      </c>
      <c r="B838" s="4">
        <v>46040</v>
      </c>
      <c r="C838" s="3" t="s">
        <v>29</v>
      </c>
      <c r="D838" s="3" t="s">
        <v>16</v>
      </c>
      <c r="E838" t="s">
        <v>40</v>
      </c>
      <c r="F838" t="s">
        <v>13</v>
      </c>
      <c r="G838" s="3">
        <v>6</v>
      </c>
      <c r="H838">
        <v>7300</v>
      </c>
      <c r="I838">
        <v>43800</v>
      </c>
    </row>
    <row r="839" spans="1:9" x14ac:dyDescent="0.35">
      <c r="A839" t="s">
        <v>883</v>
      </c>
      <c r="B839" s="4">
        <v>46188</v>
      </c>
      <c r="C839" s="3" t="s">
        <v>51</v>
      </c>
      <c r="D839" s="3" t="s">
        <v>16</v>
      </c>
      <c r="E839" t="s">
        <v>12</v>
      </c>
      <c r="F839" t="s">
        <v>13</v>
      </c>
      <c r="G839" s="3">
        <v>3</v>
      </c>
      <c r="H839">
        <v>2700</v>
      </c>
      <c r="I839">
        <v>8100</v>
      </c>
    </row>
    <row r="840" spans="1:9" x14ac:dyDescent="0.35">
      <c r="A840" t="s">
        <v>884</v>
      </c>
      <c r="B840" s="4">
        <v>46067</v>
      </c>
      <c r="C840" s="3" t="s">
        <v>51</v>
      </c>
      <c r="D840" s="3" t="s">
        <v>49</v>
      </c>
      <c r="E840" t="s">
        <v>21</v>
      </c>
      <c r="F840" t="s">
        <v>22</v>
      </c>
      <c r="G840" s="3">
        <v>4</v>
      </c>
      <c r="H840">
        <v>29400</v>
      </c>
      <c r="I840">
        <v>117600</v>
      </c>
    </row>
    <row r="841" spans="1:9" x14ac:dyDescent="0.35">
      <c r="A841" t="s">
        <v>885</v>
      </c>
      <c r="B841" s="4">
        <v>46110</v>
      </c>
      <c r="C841" s="3" t="s">
        <v>10</v>
      </c>
      <c r="D841" s="3" t="s">
        <v>16</v>
      </c>
      <c r="E841" t="s">
        <v>12</v>
      </c>
      <c r="F841" t="s">
        <v>13</v>
      </c>
      <c r="G841" s="3">
        <v>5</v>
      </c>
      <c r="H841">
        <v>2400</v>
      </c>
      <c r="I841">
        <v>12000</v>
      </c>
    </row>
    <row r="842" spans="1:9" x14ac:dyDescent="0.35">
      <c r="A842" t="s">
        <v>886</v>
      </c>
      <c r="B842" s="4">
        <v>46041</v>
      </c>
      <c r="C842" s="3" t="s">
        <v>31</v>
      </c>
      <c r="D842" s="3" t="s">
        <v>74</v>
      </c>
      <c r="E842" t="s">
        <v>54</v>
      </c>
      <c r="F842" t="s">
        <v>55</v>
      </c>
      <c r="G842" s="3">
        <v>3</v>
      </c>
      <c r="H842">
        <v>23700</v>
      </c>
      <c r="I842">
        <v>71100</v>
      </c>
    </row>
    <row r="843" spans="1:9" x14ac:dyDescent="0.35">
      <c r="A843" t="s">
        <v>887</v>
      </c>
      <c r="B843" s="4">
        <v>46139</v>
      </c>
      <c r="C843" s="3" t="s">
        <v>39</v>
      </c>
      <c r="D843" s="3" t="s">
        <v>49</v>
      </c>
      <c r="E843" t="s">
        <v>54</v>
      </c>
      <c r="F843" t="s">
        <v>55</v>
      </c>
      <c r="G843" s="3">
        <v>4</v>
      </c>
      <c r="H843">
        <v>23000</v>
      </c>
      <c r="I843">
        <v>92000</v>
      </c>
    </row>
    <row r="844" spans="1:9" x14ac:dyDescent="0.35">
      <c r="A844" t="s">
        <v>888</v>
      </c>
      <c r="B844" s="4">
        <v>46076</v>
      </c>
      <c r="C844" s="3" t="s">
        <v>46</v>
      </c>
      <c r="D844" s="3" t="s">
        <v>74</v>
      </c>
      <c r="E844" t="s">
        <v>26</v>
      </c>
      <c r="F844" t="s">
        <v>18</v>
      </c>
      <c r="G844" s="3">
        <v>1</v>
      </c>
      <c r="H844">
        <v>83800</v>
      </c>
      <c r="I844">
        <v>83800</v>
      </c>
    </row>
    <row r="845" spans="1:9" x14ac:dyDescent="0.35">
      <c r="A845" t="s">
        <v>889</v>
      </c>
      <c r="B845" s="4">
        <v>46113</v>
      </c>
      <c r="C845" s="3" t="s">
        <v>10</v>
      </c>
      <c r="D845" s="3" t="s">
        <v>16</v>
      </c>
      <c r="E845" t="s">
        <v>26</v>
      </c>
      <c r="F845" t="s">
        <v>18</v>
      </c>
      <c r="G845" s="3">
        <v>7</v>
      </c>
      <c r="H845">
        <v>84400</v>
      </c>
      <c r="I845">
        <v>590800</v>
      </c>
    </row>
    <row r="846" spans="1:9" x14ac:dyDescent="0.35">
      <c r="A846" t="s">
        <v>890</v>
      </c>
      <c r="B846" s="4">
        <v>46119</v>
      </c>
      <c r="C846" s="3" t="s">
        <v>39</v>
      </c>
      <c r="D846" s="3" t="s">
        <v>74</v>
      </c>
      <c r="E846" t="s">
        <v>40</v>
      </c>
      <c r="F846" t="s">
        <v>13</v>
      </c>
      <c r="G846" s="3">
        <v>3</v>
      </c>
      <c r="H846">
        <v>6300</v>
      </c>
      <c r="I846">
        <v>18900</v>
      </c>
    </row>
    <row r="847" spans="1:9" x14ac:dyDescent="0.35">
      <c r="A847" t="s">
        <v>891</v>
      </c>
      <c r="B847" s="4">
        <v>46116</v>
      </c>
      <c r="C847" s="3" t="s">
        <v>44</v>
      </c>
      <c r="D847" s="3" t="s">
        <v>16</v>
      </c>
      <c r="E847" t="s">
        <v>63</v>
      </c>
      <c r="F847" t="s">
        <v>55</v>
      </c>
      <c r="G847" s="3">
        <v>8</v>
      </c>
      <c r="H847">
        <v>31900</v>
      </c>
      <c r="I847">
        <v>255200</v>
      </c>
    </row>
    <row r="848" spans="1:9" x14ac:dyDescent="0.35">
      <c r="A848" t="s">
        <v>892</v>
      </c>
      <c r="B848" s="4">
        <v>46044</v>
      </c>
      <c r="C848" s="3" t="s">
        <v>15</v>
      </c>
      <c r="D848" s="3" t="s">
        <v>36</v>
      </c>
      <c r="E848" t="s">
        <v>21</v>
      </c>
      <c r="F848" t="s">
        <v>22</v>
      </c>
      <c r="G848" s="3">
        <v>8</v>
      </c>
      <c r="H848">
        <v>32000</v>
      </c>
      <c r="I848">
        <v>256000</v>
      </c>
    </row>
    <row r="849" spans="1:9" x14ac:dyDescent="0.35">
      <c r="A849" t="s">
        <v>893</v>
      </c>
      <c r="B849" s="4">
        <v>46051</v>
      </c>
      <c r="C849" s="3" t="s">
        <v>31</v>
      </c>
      <c r="D849" s="3" t="s">
        <v>11</v>
      </c>
      <c r="E849" t="s">
        <v>21</v>
      </c>
      <c r="F849" t="s">
        <v>22</v>
      </c>
      <c r="G849" s="3">
        <v>3</v>
      </c>
      <c r="H849">
        <v>26100</v>
      </c>
      <c r="I849">
        <v>78300</v>
      </c>
    </row>
    <row r="850" spans="1:9" x14ac:dyDescent="0.35">
      <c r="A850" t="s">
        <v>894</v>
      </c>
      <c r="B850" s="4">
        <v>46058</v>
      </c>
      <c r="C850" s="3" t="s">
        <v>46</v>
      </c>
      <c r="D850" s="3" t="s">
        <v>49</v>
      </c>
      <c r="E850" t="s">
        <v>54</v>
      </c>
      <c r="F850" t="s">
        <v>55</v>
      </c>
      <c r="G850" s="3">
        <v>3</v>
      </c>
      <c r="H850">
        <v>21900</v>
      </c>
      <c r="I850">
        <v>65700</v>
      </c>
    </row>
    <row r="851" spans="1:9" x14ac:dyDescent="0.35">
      <c r="A851" t="s">
        <v>895</v>
      </c>
      <c r="B851" s="4">
        <v>46083</v>
      </c>
      <c r="C851" s="3" t="s">
        <v>51</v>
      </c>
      <c r="D851" s="3" t="s">
        <v>36</v>
      </c>
      <c r="E851" t="s">
        <v>17</v>
      </c>
      <c r="F851" t="s">
        <v>18</v>
      </c>
      <c r="G851" s="3">
        <v>2</v>
      </c>
      <c r="H851">
        <v>36800</v>
      </c>
      <c r="I851">
        <v>73600</v>
      </c>
    </row>
    <row r="852" spans="1:9" x14ac:dyDescent="0.35">
      <c r="A852" t="s">
        <v>896</v>
      </c>
      <c r="B852" s="4">
        <v>46204</v>
      </c>
      <c r="C852" s="3" t="s">
        <v>34</v>
      </c>
      <c r="D852" s="3" t="s">
        <v>36</v>
      </c>
      <c r="E852" t="s">
        <v>63</v>
      </c>
      <c r="F852" t="s">
        <v>55</v>
      </c>
      <c r="G852" s="3">
        <v>4</v>
      </c>
      <c r="H852">
        <v>25600</v>
      </c>
      <c r="I852">
        <v>102400</v>
      </c>
    </row>
    <row r="853" spans="1:9" x14ac:dyDescent="0.35">
      <c r="A853" t="s">
        <v>897</v>
      </c>
      <c r="B853" s="4">
        <v>46188</v>
      </c>
      <c r="C853" s="3" t="s">
        <v>39</v>
      </c>
      <c r="D853" s="3" t="s">
        <v>36</v>
      </c>
      <c r="E853" t="s">
        <v>32</v>
      </c>
      <c r="F853" t="s">
        <v>13</v>
      </c>
      <c r="G853" s="3">
        <v>5</v>
      </c>
      <c r="H853">
        <v>4700</v>
      </c>
      <c r="I853">
        <v>23500</v>
      </c>
    </row>
    <row r="854" spans="1:9" x14ac:dyDescent="0.35">
      <c r="A854" t="s">
        <v>898</v>
      </c>
      <c r="B854" s="4">
        <v>46156</v>
      </c>
      <c r="C854" s="3" t="s">
        <v>10</v>
      </c>
      <c r="D854" s="3" t="s">
        <v>11</v>
      </c>
      <c r="E854" t="s">
        <v>37</v>
      </c>
      <c r="F854" t="s">
        <v>18</v>
      </c>
      <c r="G854" s="3">
        <v>7</v>
      </c>
      <c r="H854">
        <v>56900</v>
      </c>
      <c r="I854">
        <v>398300</v>
      </c>
    </row>
    <row r="855" spans="1:9" x14ac:dyDescent="0.35">
      <c r="A855" t="s">
        <v>899</v>
      </c>
      <c r="B855" s="4">
        <v>46160</v>
      </c>
      <c r="C855" s="3" t="s">
        <v>46</v>
      </c>
      <c r="D855" s="3" t="s">
        <v>16</v>
      </c>
      <c r="E855" t="s">
        <v>17</v>
      </c>
      <c r="F855" t="s">
        <v>18</v>
      </c>
      <c r="G855" s="3">
        <v>2</v>
      </c>
      <c r="H855">
        <v>32200</v>
      </c>
      <c r="I855">
        <v>64400</v>
      </c>
    </row>
    <row r="856" spans="1:9" x14ac:dyDescent="0.35">
      <c r="A856" t="s">
        <v>900</v>
      </c>
      <c r="B856" s="4">
        <v>46125</v>
      </c>
      <c r="C856" s="3" t="s">
        <v>20</v>
      </c>
      <c r="D856" s="3" t="s">
        <v>36</v>
      </c>
      <c r="E856" t="s">
        <v>61</v>
      </c>
      <c r="F856" t="s">
        <v>13</v>
      </c>
      <c r="G856" s="3">
        <v>2</v>
      </c>
      <c r="H856">
        <v>8800</v>
      </c>
      <c r="I856">
        <v>17600</v>
      </c>
    </row>
    <row r="857" spans="1:9" x14ac:dyDescent="0.35">
      <c r="A857" t="s">
        <v>901</v>
      </c>
      <c r="B857" s="4">
        <v>46159</v>
      </c>
      <c r="C857" s="3" t="s">
        <v>46</v>
      </c>
      <c r="D857" s="3" t="s">
        <v>25</v>
      </c>
      <c r="E857" t="s">
        <v>61</v>
      </c>
      <c r="F857" t="s">
        <v>13</v>
      </c>
      <c r="G857" s="3">
        <v>2</v>
      </c>
      <c r="H857">
        <v>9100</v>
      </c>
      <c r="I857">
        <v>18200</v>
      </c>
    </row>
    <row r="858" spans="1:9" x14ac:dyDescent="0.35">
      <c r="A858" t="s">
        <v>902</v>
      </c>
      <c r="B858" s="4">
        <v>46124</v>
      </c>
      <c r="C858" s="3" t="s">
        <v>10</v>
      </c>
      <c r="D858" s="3" t="s">
        <v>16</v>
      </c>
      <c r="E858" t="s">
        <v>40</v>
      </c>
      <c r="F858" t="s">
        <v>13</v>
      </c>
      <c r="G858" s="3">
        <v>5</v>
      </c>
      <c r="H858">
        <v>6700</v>
      </c>
      <c r="I858">
        <v>33500</v>
      </c>
    </row>
    <row r="859" spans="1:9" x14ac:dyDescent="0.35">
      <c r="A859" t="s">
        <v>903</v>
      </c>
      <c r="B859" s="4">
        <v>46102</v>
      </c>
      <c r="C859" s="3" t="s">
        <v>39</v>
      </c>
      <c r="D859" s="3" t="s">
        <v>49</v>
      </c>
      <c r="E859" t="s">
        <v>26</v>
      </c>
      <c r="F859" t="s">
        <v>18</v>
      </c>
      <c r="G859" s="3">
        <v>3</v>
      </c>
      <c r="H859">
        <v>79200</v>
      </c>
      <c r="I859">
        <v>237600</v>
      </c>
    </row>
    <row r="860" spans="1:9" x14ac:dyDescent="0.35">
      <c r="A860" t="s">
        <v>904</v>
      </c>
      <c r="B860" s="4">
        <v>46196</v>
      </c>
      <c r="C860" s="3" t="s">
        <v>46</v>
      </c>
      <c r="D860" s="3" t="s">
        <v>11</v>
      </c>
      <c r="E860" t="s">
        <v>26</v>
      </c>
      <c r="F860" t="s">
        <v>18</v>
      </c>
      <c r="G860" s="3">
        <v>6</v>
      </c>
      <c r="H860">
        <v>88800</v>
      </c>
      <c r="I860">
        <v>532800</v>
      </c>
    </row>
    <row r="861" spans="1:9" x14ac:dyDescent="0.35">
      <c r="A861" t="s">
        <v>905</v>
      </c>
      <c r="B861" s="4">
        <v>46127</v>
      </c>
      <c r="C861" s="3" t="s">
        <v>51</v>
      </c>
      <c r="D861" s="3" t="s">
        <v>16</v>
      </c>
      <c r="E861" t="s">
        <v>63</v>
      </c>
      <c r="F861" t="s">
        <v>55</v>
      </c>
      <c r="G861" s="3">
        <v>4</v>
      </c>
      <c r="H861">
        <v>33700</v>
      </c>
      <c r="I861">
        <v>134800</v>
      </c>
    </row>
    <row r="862" spans="1:9" x14ac:dyDescent="0.35">
      <c r="A862" t="s">
        <v>906</v>
      </c>
      <c r="B862" s="4">
        <v>46187</v>
      </c>
      <c r="C862" s="3" t="s">
        <v>24</v>
      </c>
      <c r="D862" s="3" t="s">
        <v>74</v>
      </c>
      <c r="E862" t="s">
        <v>21</v>
      </c>
      <c r="F862" t="s">
        <v>22</v>
      </c>
      <c r="G862" s="3">
        <v>5</v>
      </c>
      <c r="H862">
        <v>27600</v>
      </c>
      <c r="I862">
        <v>138000</v>
      </c>
    </row>
    <row r="863" spans="1:9" x14ac:dyDescent="0.35">
      <c r="A863" t="s">
        <v>907</v>
      </c>
      <c r="B863" s="4">
        <v>46097</v>
      </c>
      <c r="C863" s="3" t="s">
        <v>51</v>
      </c>
      <c r="D863" s="3" t="s">
        <v>36</v>
      </c>
      <c r="E863" t="s">
        <v>26</v>
      </c>
      <c r="F863" t="s">
        <v>18</v>
      </c>
      <c r="G863" s="3">
        <v>4</v>
      </c>
      <c r="H863">
        <v>90600</v>
      </c>
      <c r="I863">
        <v>362400</v>
      </c>
    </row>
    <row r="864" spans="1:9" x14ac:dyDescent="0.35">
      <c r="A864" t="s">
        <v>908</v>
      </c>
      <c r="B864" s="4">
        <v>46046</v>
      </c>
      <c r="C864" s="3" t="s">
        <v>24</v>
      </c>
      <c r="D864" s="3" t="s">
        <v>11</v>
      </c>
      <c r="E864" t="s">
        <v>17</v>
      </c>
      <c r="F864" t="s">
        <v>18</v>
      </c>
      <c r="G864" s="3">
        <v>8</v>
      </c>
      <c r="H864">
        <v>38600</v>
      </c>
      <c r="I864">
        <v>308800</v>
      </c>
    </row>
    <row r="865" spans="1:9" x14ac:dyDescent="0.35">
      <c r="A865" t="s">
        <v>909</v>
      </c>
      <c r="B865" s="4">
        <v>46066</v>
      </c>
      <c r="C865" s="3" t="s">
        <v>34</v>
      </c>
      <c r="D865" s="3" t="s">
        <v>74</v>
      </c>
      <c r="E865" t="s">
        <v>61</v>
      </c>
      <c r="F865" t="s">
        <v>13</v>
      </c>
      <c r="G865" s="3">
        <v>6</v>
      </c>
      <c r="H865">
        <v>8000</v>
      </c>
      <c r="I865">
        <v>48000</v>
      </c>
    </row>
    <row r="866" spans="1:9" x14ac:dyDescent="0.35">
      <c r="A866" t="s">
        <v>910</v>
      </c>
      <c r="B866" s="4">
        <v>46175</v>
      </c>
      <c r="C866" s="3" t="s">
        <v>29</v>
      </c>
      <c r="D866" s="3" t="s">
        <v>74</v>
      </c>
      <c r="E866" t="s">
        <v>12</v>
      </c>
      <c r="F866" t="s">
        <v>13</v>
      </c>
      <c r="G866" s="3">
        <v>4</v>
      </c>
      <c r="H866">
        <v>2600</v>
      </c>
      <c r="I866">
        <v>10400</v>
      </c>
    </row>
    <row r="867" spans="1:9" x14ac:dyDescent="0.35">
      <c r="A867" t="s">
        <v>911</v>
      </c>
      <c r="B867" s="4">
        <v>46180</v>
      </c>
      <c r="C867" s="3" t="s">
        <v>65</v>
      </c>
      <c r="D867" s="3" t="s">
        <v>11</v>
      </c>
      <c r="E867" t="s">
        <v>32</v>
      </c>
      <c r="F867" t="s">
        <v>13</v>
      </c>
      <c r="G867" s="3">
        <v>1</v>
      </c>
      <c r="H867">
        <v>4700</v>
      </c>
      <c r="I867">
        <v>4700</v>
      </c>
    </row>
    <row r="868" spans="1:9" x14ac:dyDescent="0.35">
      <c r="A868" t="s">
        <v>912</v>
      </c>
      <c r="B868" s="4">
        <v>46103</v>
      </c>
      <c r="C868" s="3" t="s">
        <v>29</v>
      </c>
      <c r="D868" s="3" t="s">
        <v>25</v>
      </c>
      <c r="E868" t="s">
        <v>40</v>
      </c>
      <c r="F868" t="s">
        <v>13</v>
      </c>
      <c r="G868" s="3">
        <v>2</v>
      </c>
      <c r="H868">
        <v>6800</v>
      </c>
      <c r="I868">
        <v>13600</v>
      </c>
    </row>
    <row r="869" spans="1:9" x14ac:dyDescent="0.35">
      <c r="A869" t="s">
        <v>913</v>
      </c>
      <c r="B869" s="4">
        <v>46181</v>
      </c>
      <c r="C869" s="3" t="s">
        <v>31</v>
      </c>
      <c r="D869" s="3" t="s">
        <v>74</v>
      </c>
      <c r="E869" t="s">
        <v>40</v>
      </c>
      <c r="F869" t="s">
        <v>13</v>
      </c>
      <c r="G869" s="3">
        <v>7</v>
      </c>
      <c r="H869">
        <v>6100</v>
      </c>
      <c r="I869">
        <v>42700</v>
      </c>
    </row>
    <row r="870" spans="1:9" x14ac:dyDescent="0.35">
      <c r="A870" t="s">
        <v>914</v>
      </c>
      <c r="B870" s="4">
        <v>46060</v>
      </c>
      <c r="C870" s="3" t="s">
        <v>51</v>
      </c>
      <c r="D870" s="3" t="s">
        <v>25</v>
      </c>
      <c r="E870" t="s">
        <v>26</v>
      </c>
      <c r="F870" t="s">
        <v>18</v>
      </c>
      <c r="G870" s="3">
        <v>6</v>
      </c>
      <c r="H870">
        <v>87100</v>
      </c>
      <c r="I870">
        <v>522600</v>
      </c>
    </row>
    <row r="871" spans="1:9" x14ac:dyDescent="0.35">
      <c r="A871" t="s">
        <v>915</v>
      </c>
      <c r="B871" s="4">
        <v>46094</v>
      </c>
      <c r="C871" s="3" t="s">
        <v>51</v>
      </c>
      <c r="D871" s="3" t="s">
        <v>49</v>
      </c>
      <c r="E871" t="s">
        <v>61</v>
      </c>
      <c r="F871" t="s">
        <v>13</v>
      </c>
      <c r="G871" s="3">
        <v>4</v>
      </c>
      <c r="H871">
        <v>7600</v>
      </c>
      <c r="I871">
        <v>30400</v>
      </c>
    </row>
    <row r="872" spans="1:9" x14ac:dyDescent="0.35">
      <c r="A872" t="s">
        <v>916</v>
      </c>
      <c r="B872" s="4">
        <v>46093</v>
      </c>
      <c r="C872" s="3" t="s">
        <v>51</v>
      </c>
      <c r="D872" s="3" t="s">
        <v>25</v>
      </c>
      <c r="E872" t="s">
        <v>61</v>
      </c>
      <c r="F872" t="s">
        <v>13</v>
      </c>
      <c r="G872" s="3">
        <v>8</v>
      </c>
      <c r="H872">
        <v>6900</v>
      </c>
      <c r="I872">
        <v>55200</v>
      </c>
    </row>
    <row r="873" spans="1:9" x14ac:dyDescent="0.35">
      <c r="A873" t="s">
        <v>917</v>
      </c>
      <c r="B873" s="4">
        <v>46093</v>
      </c>
      <c r="C873" s="3" t="s">
        <v>44</v>
      </c>
      <c r="D873" s="3" t="s">
        <v>74</v>
      </c>
      <c r="E873" t="s">
        <v>12</v>
      </c>
      <c r="F873" t="s">
        <v>13</v>
      </c>
      <c r="G873" s="3">
        <v>4</v>
      </c>
      <c r="H873">
        <v>2700</v>
      </c>
      <c r="I873">
        <v>10800</v>
      </c>
    </row>
    <row r="874" spans="1:9" x14ac:dyDescent="0.35">
      <c r="A874" t="s">
        <v>918</v>
      </c>
      <c r="B874" s="4">
        <v>46147</v>
      </c>
      <c r="C874" s="3" t="s">
        <v>15</v>
      </c>
      <c r="D874" s="3" t="s">
        <v>74</v>
      </c>
      <c r="E874" t="s">
        <v>37</v>
      </c>
      <c r="F874" t="s">
        <v>18</v>
      </c>
      <c r="G874" s="3">
        <v>2</v>
      </c>
      <c r="H874">
        <v>61700</v>
      </c>
      <c r="I874">
        <v>123400</v>
      </c>
    </row>
    <row r="875" spans="1:9" x14ac:dyDescent="0.35">
      <c r="A875" t="s">
        <v>919</v>
      </c>
      <c r="B875" s="4">
        <v>46117</v>
      </c>
      <c r="C875" s="3" t="s">
        <v>20</v>
      </c>
      <c r="D875" s="3" t="s">
        <v>16</v>
      </c>
      <c r="E875" t="s">
        <v>54</v>
      </c>
      <c r="F875" t="s">
        <v>55</v>
      </c>
      <c r="G875" s="3">
        <v>5</v>
      </c>
      <c r="H875">
        <v>23300</v>
      </c>
      <c r="I875">
        <v>116500</v>
      </c>
    </row>
    <row r="876" spans="1:9" x14ac:dyDescent="0.35">
      <c r="A876" t="s">
        <v>920</v>
      </c>
      <c r="B876" s="4">
        <v>46178</v>
      </c>
      <c r="C876" s="3" t="s">
        <v>31</v>
      </c>
      <c r="D876" s="3" t="s">
        <v>11</v>
      </c>
      <c r="E876" t="s">
        <v>40</v>
      </c>
      <c r="F876" t="s">
        <v>13</v>
      </c>
      <c r="G876" s="3">
        <v>4</v>
      </c>
      <c r="H876">
        <v>6200</v>
      </c>
      <c r="I876">
        <v>24800</v>
      </c>
    </row>
    <row r="877" spans="1:9" x14ac:dyDescent="0.35">
      <c r="A877" t="s">
        <v>921</v>
      </c>
      <c r="B877" s="4">
        <v>46105</v>
      </c>
      <c r="C877" s="3" t="s">
        <v>34</v>
      </c>
      <c r="D877" s="3" t="s">
        <v>74</v>
      </c>
      <c r="E877" t="s">
        <v>17</v>
      </c>
      <c r="F877" t="s">
        <v>18</v>
      </c>
      <c r="G877" s="3">
        <v>5</v>
      </c>
      <c r="H877">
        <v>37900</v>
      </c>
      <c r="I877">
        <v>189500</v>
      </c>
    </row>
    <row r="878" spans="1:9" x14ac:dyDescent="0.35">
      <c r="A878" t="s">
        <v>922</v>
      </c>
      <c r="B878" s="4">
        <v>46166</v>
      </c>
      <c r="C878" s="3" t="s">
        <v>51</v>
      </c>
      <c r="D878" s="3" t="s">
        <v>74</v>
      </c>
      <c r="E878" t="s">
        <v>12</v>
      </c>
      <c r="F878" t="s">
        <v>13</v>
      </c>
      <c r="G878" s="3">
        <v>2</v>
      </c>
      <c r="H878">
        <v>2400</v>
      </c>
      <c r="I878">
        <v>4800</v>
      </c>
    </row>
    <row r="879" spans="1:9" x14ac:dyDescent="0.35">
      <c r="A879" t="s">
        <v>923</v>
      </c>
      <c r="B879" s="4">
        <v>46033</v>
      </c>
      <c r="C879" s="3" t="s">
        <v>15</v>
      </c>
      <c r="D879" s="3" t="s">
        <v>25</v>
      </c>
      <c r="E879" t="s">
        <v>32</v>
      </c>
      <c r="F879" t="s">
        <v>13</v>
      </c>
      <c r="G879" s="3">
        <v>3</v>
      </c>
      <c r="H879">
        <v>4700</v>
      </c>
      <c r="I879">
        <v>14100</v>
      </c>
    </row>
    <row r="880" spans="1:9" x14ac:dyDescent="0.35">
      <c r="A880" t="s">
        <v>924</v>
      </c>
      <c r="B880" s="4">
        <v>46077</v>
      </c>
      <c r="C880" s="3" t="s">
        <v>15</v>
      </c>
      <c r="D880" s="3" t="s">
        <v>11</v>
      </c>
      <c r="E880" t="s">
        <v>21</v>
      </c>
      <c r="F880" t="s">
        <v>22</v>
      </c>
      <c r="G880" s="3">
        <v>7</v>
      </c>
      <c r="H880">
        <v>26000</v>
      </c>
      <c r="I880">
        <v>182000</v>
      </c>
    </row>
    <row r="881" spans="1:9" x14ac:dyDescent="0.35">
      <c r="A881" t="s">
        <v>925</v>
      </c>
      <c r="B881" s="4">
        <v>46155</v>
      </c>
      <c r="C881" s="3" t="s">
        <v>39</v>
      </c>
      <c r="D881" s="3" t="s">
        <v>74</v>
      </c>
      <c r="E881" t="s">
        <v>61</v>
      </c>
      <c r="F881" t="s">
        <v>13</v>
      </c>
      <c r="G881" s="3">
        <v>7</v>
      </c>
      <c r="H881">
        <v>6900</v>
      </c>
      <c r="I881">
        <v>48300</v>
      </c>
    </row>
    <row r="882" spans="1:9" x14ac:dyDescent="0.35">
      <c r="A882" t="s">
        <v>926</v>
      </c>
      <c r="B882" s="4">
        <v>46163</v>
      </c>
      <c r="C882" s="3" t="s">
        <v>29</v>
      </c>
      <c r="D882" s="3" t="s">
        <v>36</v>
      </c>
      <c r="E882" t="s">
        <v>12</v>
      </c>
      <c r="F882" t="s">
        <v>13</v>
      </c>
      <c r="G882" s="3">
        <v>2</v>
      </c>
      <c r="H882">
        <v>2500</v>
      </c>
      <c r="I882">
        <v>5000</v>
      </c>
    </row>
    <row r="883" spans="1:9" x14ac:dyDescent="0.35">
      <c r="A883" t="s">
        <v>927</v>
      </c>
      <c r="B883" s="4">
        <v>46180</v>
      </c>
      <c r="C883" s="3" t="s">
        <v>65</v>
      </c>
      <c r="D883" s="3" t="s">
        <v>16</v>
      </c>
      <c r="E883" t="s">
        <v>37</v>
      </c>
      <c r="F883" t="s">
        <v>18</v>
      </c>
      <c r="G883" s="3">
        <v>7</v>
      </c>
      <c r="H883">
        <v>47200</v>
      </c>
      <c r="I883">
        <v>330400</v>
      </c>
    </row>
    <row r="884" spans="1:9" x14ac:dyDescent="0.35">
      <c r="A884" t="s">
        <v>928</v>
      </c>
      <c r="B884" s="4">
        <v>46142</v>
      </c>
      <c r="C884" s="3" t="s">
        <v>10</v>
      </c>
      <c r="D884" s="3" t="s">
        <v>25</v>
      </c>
      <c r="E884" t="s">
        <v>61</v>
      </c>
      <c r="F884" t="s">
        <v>13</v>
      </c>
      <c r="G884" s="3">
        <v>3</v>
      </c>
      <c r="H884">
        <v>8800</v>
      </c>
      <c r="I884">
        <v>26400</v>
      </c>
    </row>
    <row r="885" spans="1:9" x14ac:dyDescent="0.35">
      <c r="A885" t="s">
        <v>929</v>
      </c>
      <c r="B885" s="4">
        <v>46150</v>
      </c>
      <c r="C885" s="3" t="s">
        <v>10</v>
      </c>
      <c r="D885" s="3" t="s">
        <v>25</v>
      </c>
      <c r="E885" t="s">
        <v>26</v>
      </c>
      <c r="F885" t="s">
        <v>18</v>
      </c>
      <c r="G885" s="3">
        <v>1</v>
      </c>
      <c r="H885">
        <v>95500</v>
      </c>
      <c r="I885">
        <v>95500</v>
      </c>
    </row>
    <row r="886" spans="1:9" x14ac:dyDescent="0.35">
      <c r="A886" t="s">
        <v>930</v>
      </c>
      <c r="B886" s="4">
        <v>46111</v>
      </c>
      <c r="C886" s="3" t="s">
        <v>20</v>
      </c>
      <c r="D886" s="3" t="s">
        <v>25</v>
      </c>
      <c r="E886" t="s">
        <v>54</v>
      </c>
      <c r="F886" t="s">
        <v>55</v>
      </c>
      <c r="G886" s="3">
        <v>1</v>
      </c>
      <c r="H886">
        <v>19500</v>
      </c>
      <c r="I886">
        <v>19500</v>
      </c>
    </row>
    <row r="887" spans="1:9" x14ac:dyDescent="0.35">
      <c r="A887" t="s">
        <v>931</v>
      </c>
      <c r="B887" s="4">
        <v>46148</v>
      </c>
      <c r="C887" s="3" t="s">
        <v>44</v>
      </c>
      <c r="D887" s="3" t="s">
        <v>16</v>
      </c>
      <c r="E887" t="s">
        <v>37</v>
      </c>
      <c r="F887" t="s">
        <v>18</v>
      </c>
      <c r="G887" s="3">
        <v>7</v>
      </c>
      <c r="H887">
        <v>58100</v>
      </c>
      <c r="I887">
        <v>406700</v>
      </c>
    </row>
    <row r="888" spans="1:9" x14ac:dyDescent="0.35">
      <c r="A888" t="s">
        <v>932</v>
      </c>
      <c r="B888" s="4">
        <v>46114</v>
      </c>
      <c r="C888" s="3" t="s">
        <v>10</v>
      </c>
      <c r="D888" s="3" t="s">
        <v>16</v>
      </c>
      <c r="E888" t="s">
        <v>21</v>
      </c>
      <c r="F888" t="s">
        <v>22</v>
      </c>
      <c r="G888" s="3">
        <v>8</v>
      </c>
      <c r="H888">
        <v>27700</v>
      </c>
      <c r="I888">
        <v>221600</v>
      </c>
    </row>
    <row r="889" spans="1:9" x14ac:dyDescent="0.35">
      <c r="A889" t="s">
        <v>933</v>
      </c>
      <c r="B889" s="4">
        <v>46077</v>
      </c>
      <c r="C889" s="3" t="s">
        <v>24</v>
      </c>
      <c r="D889" s="3" t="s">
        <v>49</v>
      </c>
      <c r="E889" t="s">
        <v>63</v>
      </c>
      <c r="F889" t="s">
        <v>55</v>
      </c>
      <c r="G889" s="3">
        <v>2</v>
      </c>
      <c r="H889">
        <v>26200</v>
      </c>
      <c r="I889">
        <v>52400</v>
      </c>
    </row>
    <row r="890" spans="1:9" x14ac:dyDescent="0.35">
      <c r="A890" t="s">
        <v>934</v>
      </c>
      <c r="B890" s="4">
        <v>46095</v>
      </c>
      <c r="C890" s="3" t="s">
        <v>39</v>
      </c>
      <c r="D890" s="3" t="s">
        <v>49</v>
      </c>
      <c r="E890" t="s">
        <v>12</v>
      </c>
      <c r="F890" t="s">
        <v>13</v>
      </c>
      <c r="G890" s="3">
        <v>3</v>
      </c>
      <c r="H890">
        <v>2900</v>
      </c>
      <c r="I890">
        <v>8700</v>
      </c>
    </row>
    <row r="891" spans="1:9" x14ac:dyDescent="0.35">
      <c r="A891" t="s">
        <v>935</v>
      </c>
      <c r="B891" s="4">
        <v>46091</v>
      </c>
      <c r="C891" s="3" t="s">
        <v>20</v>
      </c>
      <c r="D891" s="3" t="s">
        <v>25</v>
      </c>
      <c r="E891" t="s">
        <v>21</v>
      </c>
      <c r="F891" t="s">
        <v>22</v>
      </c>
      <c r="G891" s="3">
        <v>4</v>
      </c>
      <c r="H891">
        <v>27700</v>
      </c>
      <c r="I891">
        <v>110800</v>
      </c>
    </row>
    <row r="892" spans="1:9" x14ac:dyDescent="0.35">
      <c r="A892" t="s">
        <v>936</v>
      </c>
      <c r="B892" s="4">
        <v>46138</v>
      </c>
      <c r="C892" s="3" t="s">
        <v>29</v>
      </c>
      <c r="D892" s="3" t="s">
        <v>74</v>
      </c>
      <c r="E892" t="s">
        <v>54</v>
      </c>
      <c r="F892" t="s">
        <v>55</v>
      </c>
      <c r="G892" s="3">
        <v>1</v>
      </c>
      <c r="H892">
        <v>21100</v>
      </c>
      <c r="I892">
        <v>21100</v>
      </c>
    </row>
    <row r="893" spans="1:9" x14ac:dyDescent="0.35">
      <c r="A893" t="s">
        <v>937</v>
      </c>
      <c r="B893" s="4">
        <v>46107</v>
      </c>
      <c r="C893" s="3" t="s">
        <v>10</v>
      </c>
      <c r="D893" s="3" t="s">
        <v>36</v>
      </c>
      <c r="E893" t="s">
        <v>17</v>
      </c>
      <c r="F893" t="s">
        <v>18</v>
      </c>
      <c r="G893" s="3">
        <v>8</v>
      </c>
      <c r="H893">
        <v>33100</v>
      </c>
      <c r="I893">
        <v>264800</v>
      </c>
    </row>
    <row r="894" spans="1:9" x14ac:dyDescent="0.35">
      <c r="A894" t="s">
        <v>938</v>
      </c>
      <c r="B894" s="4">
        <v>46181</v>
      </c>
      <c r="C894" s="3" t="s">
        <v>34</v>
      </c>
      <c r="D894" s="3" t="s">
        <v>49</v>
      </c>
      <c r="E894" t="s">
        <v>26</v>
      </c>
      <c r="F894" t="s">
        <v>18</v>
      </c>
      <c r="G894" s="3">
        <v>2</v>
      </c>
      <c r="H894">
        <v>92400</v>
      </c>
      <c r="I894">
        <v>184800</v>
      </c>
    </row>
    <row r="895" spans="1:9" x14ac:dyDescent="0.35">
      <c r="A895" t="s">
        <v>939</v>
      </c>
      <c r="B895" s="4">
        <v>46145</v>
      </c>
      <c r="C895" s="3" t="s">
        <v>34</v>
      </c>
      <c r="D895" s="3" t="s">
        <v>25</v>
      </c>
      <c r="E895" t="s">
        <v>32</v>
      </c>
      <c r="F895" t="s">
        <v>13</v>
      </c>
      <c r="G895" s="3">
        <v>8</v>
      </c>
      <c r="H895">
        <v>5100</v>
      </c>
      <c r="I895">
        <v>40800</v>
      </c>
    </row>
    <row r="896" spans="1:9" x14ac:dyDescent="0.35">
      <c r="A896" t="s">
        <v>940</v>
      </c>
      <c r="B896" s="4">
        <v>46163</v>
      </c>
      <c r="C896" s="3" t="s">
        <v>20</v>
      </c>
      <c r="D896" s="3" t="s">
        <v>25</v>
      </c>
      <c r="E896" t="s">
        <v>37</v>
      </c>
      <c r="F896" t="s">
        <v>18</v>
      </c>
      <c r="G896" s="3">
        <v>5</v>
      </c>
      <c r="H896">
        <v>49400</v>
      </c>
      <c r="I896">
        <v>247000</v>
      </c>
    </row>
    <row r="897" spans="1:9" x14ac:dyDescent="0.35">
      <c r="A897" t="s">
        <v>941</v>
      </c>
      <c r="B897" s="4">
        <v>46190</v>
      </c>
      <c r="C897" s="3" t="s">
        <v>29</v>
      </c>
      <c r="D897" s="3" t="s">
        <v>25</v>
      </c>
      <c r="E897" t="s">
        <v>63</v>
      </c>
      <c r="F897" t="s">
        <v>55</v>
      </c>
      <c r="G897" s="3">
        <v>3</v>
      </c>
      <c r="H897">
        <v>32300</v>
      </c>
      <c r="I897">
        <v>96900</v>
      </c>
    </row>
    <row r="898" spans="1:9" x14ac:dyDescent="0.35">
      <c r="A898" t="s">
        <v>942</v>
      </c>
      <c r="B898" s="4">
        <v>46107</v>
      </c>
      <c r="C898" s="3" t="s">
        <v>24</v>
      </c>
      <c r="D898" s="3" t="s">
        <v>74</v>
      </c>
      <c r="E898" t="s">
        <v>26</v>
      </c>
      <c r="F898" t="s">
        <v>18</v>
      </c>
      <c r="G898" s="3">
        <v>4</v>
      </c>
      <c r="H898">
        <v>93800</v>
      </c>
      <c r="I898">
        <v>375200</v>
      </c>
    </row>
    <row r="899" spans="1:9" x14ac:dyDescent="0.35">
      <c r="A899" t="s">
        <v>943</v>
      </c>
      <c r="B899" s="4">
        <v>46026</v>
      </c>
      <c r="C899" s="3" t="s">
        <v>10</v>
      </c>
      <c r="D899" s="3" t="s">
        <v>16</v>
      </c>
      <c r="E899" t="s">
        <v>63</v>
      </c>
      <c r="F899" t="s">
        <v>55</v>
      </c>
      <c r="G899" s="3">
        <v>6</v>
      </c>
      <c r="H899">
        <v>33300</v>
      </c>
      <c r="I899">
        <v>199800</v>
      </c>
    </row>
    <row r="900" spans="1:9" x14ac:dyDescent="0.35">
      <c r="A900" t="s">
        <v>944</v>
      </c>
      <c r="B900" s="4">
        <v>46041</v>
      </c>
      <c r="C900" s="3" t="s">
        <v>29</v>
      </c>
      <c r="D900" s="3" t="s">
        <v>49</v>
      </c>
      <c r="E900" t="s">
        <v>63</v>
      </c>
      <c r="F900" t="s">
        <v>55</v>
      </c>
      <c r="G900" s="3">
        <v>5</v>
      </c>
      <c r="H900">
        <v>32700</v>
      </c>
      <c r="I900">
        <v>163500</v>
      </c>
    </row>
    <row r="901" spans="1:9" x14ac:dyDescent="0.35">
      <c r="A901" t="s">
        <v>945</v>
      </c>
      <c r="B901" s="4">
        <v>46127</v>
      </c>
      <c r="C901" s="3" t="s">
        <v>31</v>
      </c>
      <c r="D901" s="3" t="s">
        <v>49</v>
      </c>
      <c r="E901" t="s">
        <v>32</v>
      </c>
      <c r="F901" t="s">
        <v>13</v>
      </c>
      <c r="G901" s="3">
        <v>4</v>
      </c>
      <c r="H901">
        <v>4100</v>
      </c>
      <c r="I901">
        <v>16400</v>
      </c>
    </row>
    <row r="902" spans="1:9" x14ac:dyDescent="0.35">
      <c r="A902" t="s">
        <v>946</v>
      </c>
      <c r="B902" s="4">
        <v>46143</v>
      </c>
      <c r="C902" s="3" t="s">
        <v>20</v>
      </c>
      <c r="D902" s="3" t="s">
        <v>25</v>
      </c>
      <c r="E902" t="s">
        <v>12</v>
      </c>
      <c r="F902" t="s">
        <v>13</v>
      </c>
      <c r="G902" s="3">
        <v>8</v>
      </c>
      <c r="H902">
        <v>2600</v>
      </c>
      <c r="I902">
        <v>20800</v>
      </c>
    </row>
    <row r="903" spans="1:9" x14ac:dyDescent="0.35">
      <c r="A903" t="s">
        <v>947</v>
      </c>
      <c r="B903" s="4">
        <v>46170</v>
      </c>
      <c r="C903" s="3" t="s">
        <v>46</v>
      </c>
      <c r="D903" s="3" t="s">
        <v>36</v>
      </c>
      <c r="E903" t="s">
        <v>32</v>
      </c>
      <c r="F903" t="s">
        <v>13</v>
      </c>
      <c r="G903" s="3">
        <v>5</v>
      </c>
      <c r="H903">
        <v>4400</v>
      </c>
      <c r="I903">
        <v>22000</v>
      </c>
    </row>
    <row r="904" spans="1:9" x14ac:dyDescent="0.35">
      <c r="A904" t="s">
        <v>948</v>
      </c>
      <c r="B904" s="4">
        <v>46062</v>
      </c>
      <c r="C904" s="3" t="s">
        <v>29</v>
      </c>
      <c r="D904" s="3" t="s">
        <v>49</v>
      </c>
      <c r="E904" t="s">
        <v>12</v>
      </c>
      <c r="F904" t="s">
        <v>13</v>
      </c>
      <c r="G904" s="3">
        <v>4</v>
      </c>
      <c r="H904">
        <v>2900</v>
      </c>
      <c r="I904">
        <v>11600</v>
      </c>
    </row>
    <row r="905" spans="1:9" x14ac:dyDescent="0.35">
      <c r="A905" t="s">
        <v>949</v>
      </c>
      <c r="B905" s="4">
        <v>46201</v>
      </c>
      <c r="C905" s="3" t="s">
        <v>24</v>
      </c>
      <c r="D905" s="3" t="s">
        <v>16</v>
      </c>
      <c r="E905" t="s">
        <v>61</v>
      </c>
      <c r="F905" t="s">
        <v>13</v>
      </c>
      <c r="G905" s="3">
        <v>6</v>
      </c>
      <c r="H905">
        <v>8400</v>
      </c>
      <c r="I905">
        <v>50400</v>
      </c>
    </row>
    <row r="906" spans="1:9" x14ac:dyDescent="0.35">
      <c r="A906" t="s">
        <v>950</v>
      </c>
      <c r="B906" s="4">
        <v>46097</v>
      </c>
      <c r="C906" s="3" t="s">
        <v>24</v>
      </c>
      <c r="D906" s="3" t="s">
        <v>11</v>
      </c>
      <c r="E906" t="s">
        <v>32</v>
      </c>
      <c r="F906" t="s">
        <v>13</v>
      </c>
      <c r="G906" s="3">
        <v>8</v>
      </c>
      <c r="H906">
        <v>5100</v>
      </c>
      <c r="I906">
        <v>40800</v>
      </c>
    </row>
    <row r="907" spans="1:9" x14ac:dyDescent="0.35">
      <c r="A907" t="s">
        <v>951</v>
      </c>
      <c r="B907" s="4">
        <v>46111</v>
      </c>
      <c r="C907" s="3" t="s">
        <v>24</v>
      </c>
      <c r="D907" s="3" t="s">
        <v>74</v>
      </c>
      <c r="E907" t="s">
        <v>26</v>
      </c>
      <c r="F907" t="s">
        <v>18</v>
      </c>
      <c r="G907" s="3">
        <v>3</v>
      </c>
      <c r="H907">
        <v>84900</v>
      </c>
      <c r="I907">
        <v>254700</v>
      </c>
    </row>
    <row r="908" spans="1:9" x14ac:dyDescent="0.35">
      <c r="A908" t="s">
        <v>952</v>
      </c>
      <c r="B908" s="4">
        <v>46118</v>
      </c>
      <c r="C908" s="3" t="s">
        <v>44</v>
      </c>
      <c r="D908" s="3" t="s">
        <v>36</v>
      </c>
      <c r="E908" t="s">
        <v>21</v>
      </c>
      <c r="F908" t="s">
        <v>22</v>
      </c>
      <c r="G908" s="3">
        <v>5</v>
      </c>
      <c r="H908">
        <v>28400</v>
      </c>
      <c r="I908">
        <v>142000</v>
      </c>
    </row>
    <row r="909" spans="1:9" x14ac:dyDescent="0.35">
      <c r="A909" t="s">
        <v>953</v>
      </c>
      <c r="B909" s="4">
        <v>46120</v>
      </c>
      <c r="C909" s="3" t="s">
        <v>20</v>
      </c>
      <c r="D909" s="3" t="s">
        <v>16</v>
      </c>
      <c r="E909" t="s">
        <v>37</v>
      </c>
      <c r="F909" t="s">
        <v>18</v>
      </c>
      <c r="G909" s="3">
        <v>6</v>
      </c>
      <c r="H909">
        <v>63100</v>
      </c>
      <c r="I909">
        <v>378600</v>
      </c>
    </row>
    <row r="910" spans="1:9" x14ac:dyDescent="0.35">
      <c r="A910" t="s">
        <v>954</v>
      </c>
      <c r="B910" s="4">
        <v>46026</v>
      </c>
      <c r="C910" s="3" t="s">
        <v>34</v>
      </c>
      <c r="D910" s="3" t="s">
        <v>36</v>
      </c>
      <c r="E910" t="s">
        <v>61</v>
      </c>
      <c r="F910" t="s">
        <v>13</v>
      </c>
      <c r="G910" s="3">
        <v>6</v>
      </c>
      <c r="H910">
        <v>7400</v>
      </c>
      <c r="I910">
        <v>44400</v>
      </c>
    </row>
    <row r="911" spans="1:9" x14ac:dyDescent="0.35">
      <c r="A911" t="s">
        <v>955</v>
      </c>
      <c r="B911" s="4">
        <v>46041</v>
      </c>
      <c r="C911" s="3" t="s">
        <v>20</v>
      </c>
      <c r="D911" s="3" t="s">
        <v>74</v>
      </c>
      <c r="E911" t="s">
        <v>32</v>
      </c>
      <c r="F911" t="s">
        <v>13</v>
      </c>
      <c r="G911" s="3">
        <v>7</v>
      </c>
      <c r="H911">
        <v>4900</v>
      </c>
      <c r="I911">
        <v>34300</v>
      </c>
    </row>
    <row r="912" spans="1:9" x14ac:dyDescent="0.35">
      <c r="A912" t="s">
        <v>956</v>
      </c>
      <c r="B912" s="4">
        <v>46191</v>
      </c>
      <c r="C912" s="3" t="s">
        <v>46</v>
      </c>
      <c r="D912" s="3" t="s">
        <v>74</v>
      </c>
      <c r="E912" t="s">
        <v>54</v>
      </c>
      <c r="F912" t="s">
        <v>55</v>
      </c>
      <c r="G912" s="3">
        <v>2</v>
      </c>
      <c r="H912">
        <v>19300</v>
      </c>
      <c r="I912">
        <v>38600</v>
      </c>
    </row>
    <row r="913" spans="1:9" x14ac:dyDescent="0.35">
      <c r="A913" t="s">
        <v>957</v>
      </c>
      <c r="B913" s="4">
        <v>46087</v>
      </c>
      <c r="C913" s="3" t="s">
        <v>24</v>
      </c>
      <c r="D913" s="3" t="s">
        <v>36</v>
      </c>
      <c r="E913" t="s">
        <v>17</v>
      </c>
      <c r="F913" t="s">
        <v>18</v>
      </c>
      <c r="G913" s="3">
        <v>1</v>
      </c>
      <c r="H913">
        <v>31600</v>
      </c>
      <c r="I913">
        <v>31600</v>
      </c>
    </row>
    <row r="914" spans="1:9" x14ac:dyDescent="0.35">
      <c r="A914" t="s">
        <v>958</v>
      </c>
      <c r="B914" s="4">
        <v>46161</v>
      </c>
      <c r="C914" s="3" t="s">
        <v>31</v>
      </c>
      <c r="D914" s="3" t="s">
        <v>49</v>
      </c>
      <c r="E914" t="s">
        <v>40</v>
      </c>
      <c r="F914" t="s">
        <v>13</v>
      </c>
      <c r="G914" s="3">
        <v>2</v>
      </c>
      <c r="H914">
        <v>6400</v>
      </c>
      <c r="I914">
        <v>12800</v>
      </c>
    </row>
    <row r="915" spans="1:9" x14ac:dyDescent="0.35">
      <c r="A915" t="s">
        <v>959</v>
      </c>
      <c r="B915" s="4">
        <v>46102</v>
      </c>
      <c r="C915" s="3" t="s">
        <v>39</v>
      </c>
      <c r="D915" s="3" t="s">
        <v>36</v>
      </c>
      <c r="E915" t="s">
        <v>17</v>
      </c>
      <c r="F915" t="s">
        <v>18</v>
      </c>
      <c r="G915" s="3">
        <v>8</v>
      </c>
      <c r="H915">
        <v>38800</v>
      </c>
      <c r="I915">
        <v>310400</v>
      </c>
    </row>
    <row r="916" spans="1:9" x14ac:dyDescent="0.35">
      <c r="A916" t="s">
        <v>960</v>
      </c>
      <c r="B916" s="4">
        <v>46057</v>
      </c>
      <c r="C916" s="3" t="s">
        <v>20</v>
      </c>
      <c r="D916" s="3" t="s">
        <v>25</v>
      </c>
      <c r="E916" t="s">
        <v>63</v>
      </c>
      <c r="F916" t="s">
        <v>55</v>
      </c>
      <c r="G916" s="3">
        <v>4</v>
      </c>
      <c r="H916">
        <v>27500</v>
      </c>
      <c r="I916">
        <v>110000</v>
      </c>
    </row>
    <row r="917" spans="1:9" x14ac:dyDescent="0.35">
      <c r="A917" t="s">
        <v>961</v>
      </c>
      <c r="B917" s="4">
        <v>46031</v>
      </c>
      <c r="C917" s="3" t="s">
        <v>31</v>
      </c>
      <c r="D917" s="3" t="s">
        <v>36</v>
      </c>
      <c r="E917" t="s">
        <v>17</v>
      </c>
      <c r="F917" t="s">
        <v>18</v>
      </c>
      <c r="G917" s="3">
        <v>2</v>
      </c>
      <c r="H917">
        <v>36000</v>
      </c>
      <c r="I917">
        <v>72000</v>
      </c>
    </row>
    <row r="918" spans="1:9" x14ac:dyDescent="0.35">
      <c r="A918" t="s">
        <v>962</v>
      </c>
      <c r="B918" s="4">
        <v>46086</v>
      </c>
      <c r="C918" s="3" t="s">
        <v>15</v>
      </c>
      <c r="D918" s="3" t="s">
        <v>11</v>
      </c>
      <c r="E918" t="s">
        <v>12</v>
      </c>
      <c r="F918" t="s">
        <v>13</v>
      </c>
      <c r="G918" s="3">
        <v>4</v>
      </c>
      <c r="H918">
        <v>2500</v>
      </c>
      <c r="I918">
        <v>10000</v>
      </c>
    </row>
    <row r="919" spans="1:9" x14ac:dyDescent="0.35">
      <c r="A919" t="s">
        <v>963</v>
      </c>
      <c r="B919" s="4">
        <v>46123</v>
      </c>
      <c r="C919" s="3" t="s">
        <v>34</v>
      </c>
      <c r="D919" s="3" t="s">
        <v>25</v>
      </c>
      <c r="E919" t="s">
        <v>12</v>
      </c>
      <c r="F919" t="s">
        <v>13</v>
      </c>
      <c r="G919" s="3">
        <v>3</v>
      </c>
      <c r="H919">
        <v>2400</v>
      </c>
      <c r="I919">
        <v>7200</v>
      </c>
    </row>
    <row r="920" spans="1:9" x14ac:dyDescent="0.35">
      <c r="A920" t="s">
        <v>964</v>
      </c>
      <c r="B920" s="4">
        <v>46121</v>
      </c>
      <c r="C920" s="3" t="s">
        <v>46</v>
      </c>
      <c r="D920" s="3" t="s">
        <v>25</v>
      </c>
      <c r="E920" t="s">
        <v>12</v>
      </c>
      <c r="F920" t="s">
        <v>13</v>
      </c>
      <c r="G920" s="3">
        <v>1</v>
      </c>
      <c r="H920">
        <v>2500</v>
      </c>
      <c r="I920">
        <v>2500</v>
      </c>
    </row>
    <row r="921" spans="1:9" x14ac:dyDescent="0.35">
      <c r="A921" t="s">
        <v>965</v>
      </c>
      <c r="B921" s="4">
        <v>46023</v>
      </c>
      <c r="C921" s="3" t="s">
        <v>10</v>
      </c>
      <c r="D921" s="3" t="s">
        <v>49</v>
      </c>
      <c r="E921" t="s">
        <v>32</v>
      </c>
      <c r="F921" t="s">
        <v>13</v>
      </c>
      <c r="G921" s="3">
        <v>5</v>
      </c>
      <c r="H921">
        <v>4400</v>
      </c>
      <c r="I921">
        <v>22000</v>
      </c>
    </row>
    <row r="922" spans="1:9" x14ac:dyDescent="0.35">
      <c r="A922" t="s">
        <v>966</v>
      </c>
      <c r="B922" s="4">
        <v>46093</v>
      </c>
      <c r="C922" s="3" t="s">
        <v>65</v>
      </c>
      <c r="D922" s="3" t="s">
        <v>36</v>
      </c>
      <c r="E922" t="s">
        <v>21</v>
      </c>
      <c r="F922" t="s">
        <v>22</v>
      </c>
      <c r="G922" s="3">
        <v>6</v>
      </c>
      <c r="H922">
        <v>24300</v>
      </c>
      <c r="I922">
        <v>145800</v>
      </c>
    </row>
    <row r="923" spans="1:9" x14ac:dyDescent="0.35">
      <c r="A923" t="s">
        <v>967</v>
      </c>
      <c r="B923" s="4">
        <v>46077</v>
      </c>
      <c r="C923" s="3" t="s">
        <v>24</v>
      </c>
      <c r="D923" s="3" t="s">
        <v>25</v>
      </c>
      <c r="E923" t="s">
        <v>12</v>
      </c>
      <c r="F923" t="s">
        <v>13</v>
      </c>
      <c r="G923" s="3">
        <v>5</v>
      </c>
      <c r="H923">
        <v>2600</v>
      </c>
      <c r="I923">
        <v>13000</v>
      </c>
    </row>
    <row r="924" spans="1:9" x14ac:dyDescent="0.35">
      <c r="A924" t="s">
        <v>968</v>
      </c>
      <c r="B924" s="4">
        <v>46041</v>
      </c>
      <c r="C924" s="3" t="s">
        <v>39</v>
      </c>
      <c r="D924" s="3" t="s">
        <v>74</v>
      </c>
      <c r="E924" t="s">
        <v>63</v>
      </c>
      <c r="F924" t="s">
        <v>55</v>
      </c>
      <c r="G924" s="3">
        <v>1</v>
      </c>
      <c r="H924">
        <v>31800</v>
      </c>
      <c r="I924">
        <v>31800</v>
      </c>
    </row>
    <row r="925" spans="1:9" x14ac:dyDescent="0.35">
      <c r="A925" t="s">
        <v>969</v>
      </c>
      <c r="B925" s="4">
        <v>46091</v>
      </c>
      <c r="C925" s="3" t="s">
        <v>24</v>
      </c>
      <c r="D925" s="3" t="s">
        <v>49</v>
      </c>
      <c r="E925" t="s">
        <v>61</v>
      </c>
      <c r="F925" t="s">
        <v>13</v>
      </c>
      <c r="G925" s="3">
        <v>2</v>
      </c>
      <c r="H925">
        <v>8200</v>
      </c>
      <c r="I925">
        <v>16400</v>
      </c>
    </row>
    <row r="926" spans="1:9" x14ac:dyDescent="0.35">
      <c r="A926" t="s">
        <v>970</v>
      </c>
      <c r="B926" s="4">
        <v>46027</v>
      </c>
      <c r="C926" s="3" t="s">
        <v>10</v>
      </c>
      <c r="D926" s="3" t="s">
        <v>74</v>
      </c>
      <c r="E926" t="s">
        <v>26</v>
      </c>
      <c r="F926" t="s">
        <v>18</v>
      </c>
      <c r="G926" s="3">
        <v>4</v>
      </c>
      <c r="H926">
        <v>91200</v>
      </c>
      <c r="I926">
        <v>364800</v>
      </c>
    </row>
    <row r="927" spans="1:9" x14ac:dyDescent="0.35">
      <c r="A927" t="s">
        <v>971</v>
      </c>
      <c r="B927" s="4">
        <v>46192</v>
      </c>
      <c r="C927" s="3" t="s">
        <v>51</v>
      </c>
      <c r="D927" s="3" t="s">
        <v>36</v>
      </c>
      <c r="E927" t="s">
        <v>37</v>
      </c>
      <c r="F927" t="s">
        <v>18</v>
      </c>
      <c r="G927" s="3">
        <v>3</v>
      </c>
      <c r="H927">
        <v>58000</v>
      </c>
      <c r="I927">
        <v>174000</v>
      </c>
    </row>
    <row r="928" spans="1:9" x14ac:dyDescent="0.35">
      <c r="A928" t="s">
        <v>972</v>
      </c>
      <c r="B928" s="4">
        <v>46196</v>
      </c>
      <c r="C928" s="3" t="s">
        <v>24</v>
      </c>
      <c r="D928" s="3" t="s">
        <v>16</v>
      </c>
      <c r="E928" t="s">
        <v>40</v>
      </c>
      <c r="F928" t="s">
        <v>13</v>
      </c>
      <c r="G928" s="3">
        <v>5</v>
      </c>
      <c r="H928">
        <v>5800</v>
      </c>
      <c r="I928">
        <v>29000</v>
      </c>
    </row>
    <row r="929" spans="1:9" x14ac:dyDescent="0.35">
      <c r="A929" t="s">
        <v>973</v>
      </c>
      <c r="B929" s="4">
        <v>46163</v>
      </c>
      <c r="C929" s="3" t="s">
        <v>20</v>
      </c>
      <c r="D929" s="3" t="s">
        <v>25</v>
      </c>
      <c r="E929" t="s">
        <v>61</v>
      </c>
      <c r="F929" t="s">
        <v>13</v>
      </c>
      <c r="G929" s="3">
        <v>7</v>
      </c>
      <c r="H929">
        <v>8800</v>
      </c>
      <c r="I929">
        <v>61600</v>
      </c>
    </row>
    <row r="930" spans="1:9" x14ac:dyDescent="0.35">
      <c r="A930" t="s">
        <v>974</v>
      </c>
      <c r="B930" s="4">
        <v>46170</v>
      </c>
      <c r="C930" s="3" t="s">
        <v>44</v>
      </c>
      <c r="D930" s="3" t="s">
        <v>49</v>
      </c>
      <c r="E930" t="s">
        <v>12</v>
      </c>
      <c r="F930" t="s">
        <v>13</v>
      </c>
      <c r="G930" s="3">
        <v>3</v>
      </c>
      <c r="H930">
        <v>2700</v>
      </c>
      <c r="I930">
        <v>8100</v>
      </c>
    </row>
    <row r="931" spans="1:9" x14ac:dyDescent="0.35">
      <c r="A931" t="s">
        <v>975</v>
      </c>
      <c r="B931" s="4">
        <v>46148</v>
      </c>
      <c r="C931" s="3" t="s">
        <v>20</v>
      </c>
      <c r="D931" s="3" t="s">
        <v>49</v>
      </c>
      <c r="E931" t="s">
        <v>61</v>
      </c>
      <c r="F931" t="s">
        <v>13</v>
      </c>
      <c r="G931" s="3">
        <v>1</v>
      </c>
      <c r="H931">
        <v>8500</v>
      </c>
      <c r="I931">
        <v>8500</v>
      </c>
    </row>
    <row r="932" spans="1:9" x14ac:dyDescent="0.35">
      <c r="A932" t="s">
        <v>976</v>
      </c>
      <c r="B932" s="4">
        <v>46155</v>
      </c>
      <c r="C932" s="3" t="s">
        <v>31</v>
      </c>
      <c r="D932" s="3" t="s">
        <v>16</v>
      </c>
      <c r="E932" t="s">
        <v>54</v>
      </c>
      <c r="F932" t="s">
        <v>55</v>
      </c>
      <c r="G932" s="3">
        <v>1</v>
      </c>
      <c r="H932">
        <v>19900</v>
      </c>
      <c r="I932">
        <v>19900</v>
      </c>
    </row>
    <row r="933" spans="1:9" x14ac:dyDescent="0.35">
      <c r="A933" t="s">
        <v>977</v>
      </c>
      <c r="B933" s="4">
        <v>46072</v>
      </c>
      <c r="C933" s="3" t="s">
        <v>39</v>
      </c>
      <c r="D933" s="3" t="s">
        <v>74</v>
      </c>
      <c r="E933" t="s">
        <v>37</v>
      </c>
      <c r="F933" t="s">
        <v>18</v>
      </c>
      <c r="G933" s="3">
        <v>1</v>
      </c>
      <c r="H933">
        <v>56200</v>
      </c>
      <c r="I933">
        <v>56200</v>
      </c>
    </row>
    <row r="934" spans="1:9" x14ac:dyDescent="0.35">
      <c r="A934" t="s">
        <v>978</v>
      </c>
      <c r="B934" s="4">
        <v>46100</v>
      </c>
      <c r="C934" s="3" t="s">
        <v>15</v>
      </c>
      <c r="D934" s="3" t="s">
        <v>36</v>
      </c>
      <c r="E934" t="s">
        <v>17</v>
      </c>
      <c r="F934" t="s">
        <v>18</v>
      </c>
      <c r="G934" s="3">
        <v>5</v>
      </c>
      <c r="H934">
        <v>38000</v>
      </c>
      <c r="I934">
        <v>190000</v>
      </c>
    </row>
    <row r="935" spans="1:9" x14ac:dyDescent="0.35">
      <c r="A935" t="s">
        <v>979</v>
      </c>
      <c r="B935" s="4">
        <v>46150</v>
      </c>
      <c r="C935" s="3" t="s">
        <v>44</v>
      </c>
      <c r="D935" s="3" t="s">
        <v>16</v>
      </c>
      <c r="E935" t="s">
        <v>40</v>
      </c>
      <c r="F935" t="s">
        <v>13</v>
      </c>
      <c r="G935" s="3">
        <v>6</v>
      </c>
      <c r="H935">
        <v>5800</v>
      </c>
      <c r="I935">
        <v>34800</v>
      </c>
    </row>
    <row r="936" spans="1:9" x14ac:dyDescent="0.35">
      <c r="A936" t="s">
        <v>980</v>
      </c>
      <c r="B936" s="4">
        <v>46037</v>
      </c>
      <c r="C936" s="3" t="s">
        <v>65</v>
      </c>
      <c r="D936" s="3" t="s">
        <v>36</v>
      </c>
      <c r="E936" t="s">
        <v>12</v>
      </c>
      <c r="F936" t="s">
        <v>13</v>
      </c>
      <c r="G936" s="3">
        <v>6</v>
      </c>
      <c r="H936">
        <v>2800</v>
      </c>
      <c r="I936">
        <v>16800</v>
      </c>
    </row>
    <row r="937" spans="1:9" x14ac:dyDescent="0.35">
      <c r="A937" t="s">
        <v>981</v>
      </c>
      <c r="B937" s="4">
        <v>46041</v>
      </c>
      <c r="C937" s="3" t="s">
        <v>20</v>
      </c>
      <c r="D937" s="3" t="s">
        <v>25</v>
      </c>
      <c r="E937" t="s">
        <v>61</v>
      </c>
      <c r="F937" t="s">
        <v>13</v>
      </c>
      <c r="G937" s="3">
        <v>4</v>
      </c>
      <c r="H937">
        <v>7100</v>
      </c>
      <c r="I937">
        <v>28400</v>
      </c>
    </row>
    <row r="938" spans="1:9" x14ac:dyDescent="0.35">
      <c r="A938" t="s">
        <v>982</v>
      </c>
      <c r="B938" s="4">
        <v>46037</v>
      </c>
      <c r="C938" s="3" t="s">
        <v>65</v>
      </c>
      <c r="D938" s="3" t="s">
        <v>74</v>
      </c>
      <c r="E938" t="s">
        <v>12</v>
      </c>
      <c r="F938" t="s">
        <v>13</v>
      </c>
      <c r="G938" s="3">
        <v>4</v>
      </c>
      <c r="H938">
        <v>2300</v>
      </c>
      <c r="I938">
        <v>9200</v>
      </c>
    </row>
    <row r="939" spans="1:9" x14ac:dyDescent="0.35">
      <c r="A939" t="s">
        <v>983</v>
      </c>
      <c r="B939" s="4">
        <v>46063</v>
      </c>
      <c r="C939" s="3" t="s">
        <v>51</v>
      </c>
      <c r="D939" s="3" t="s">
        <v>11</v>
      </c>
      <c r="E939" t="s">
        <v>26</v>
      </c>
      <c r="F939" t="s">
        <v>18</v>
      </c>
      <c r="G939" s="3">
        <v>2</v>
      </c>
      <c r="H939">
        <v>84100</v>
      </c>
      <c r="I939">
        <v>168200</v>
      </c>
    </row>
    <row r="940" spans="1:9" x14ac:dyDescent="0.35">
      <c r="A940" t="s">
        <v>984</v>
      </c>
      <c r="B940" s="4">
        <v>46137</v>
      </c>
      <c r="C940" s="3" t="s">
        <v>65</v>
      </c>
      <c r="D940" s="3" t="s">
        <v>74</v>
      </c>
      <c r="E940" t="s">
        <v>61</v>
      </c>
      <c r="F940" t="s">
        <v>13</v>
      </c>
      <c r="G940" s="3">
        <v>5</v>
      </c>
      <c r="H940">
        <v>8600</v>
      </c>
      <c r="I940">
        <v>43000</v>
      </c>
    </row>
    <row r="941" spans="1:9" x14ac:dyDescent="0.35">
      <c r="A941" t="s">
        <v>985</v>
      </c>
      <c r="B941" s="4">
        <v>46146</v>
      </c>
      <c r="C941" s="3" t="s">
        <v>39</v>
      </c>
      <c r="D941" s="3" t="s">
        <v>49</v>
      </c>
      <c r="E941" t="s">
        <v>61</v>
      </c>
      <c r="F941" t="s">
        <v>13</v>
      </c>
      <c r="G941" s="3">
        <v>3</v>
      </c>
      <c r="H941">
        <v>7900</v>
      </c>
      <c r="I941">
        <v>23700</v>
      </c>
    </row>
    <row r="942" spans="1:9" x14ac:dyDescent="0.35">
      <c r="A942" t="s">
        <v>986</v>
      </c>
      <c r="B942" s="4">
        <v>46067</v>
      </c>
      <c r="C942" s="3" t="s">
        <v>34</v>
      </c>
      <c r="D942" s="3" t="s">
        <v>16</v>
      </c>
      <c r="E942" t="s">
        <v>63</v>
      </c>
      <c r="F942" t="s">
        <v>55</v>
      </c>
      <c r="G942" s="3">
        <v>1</v>
      </c>
      <c r="H942">
        <v>34000</v>
      </c>
      <c r="I942">
        <v>34000</v>
      </c>
    </row>
    <row r="943" spans="1:9" x14ac:dyDescent="0.35">
      <c r="A943" t="s">
        <v>987</v>
      </c>
      <c r="B943" s="4">
        <v>46179</v>
      </c>
      <c r="C943" s="3" t="s">
        <v>65</v>
      </c>
      <c r="D943" s="3" t="s">
        <v>74</v>
      </c>
      <c r="E943" t="s">
        <v>26</v>
      </c>
      <c r="F943" t="s">
        <v>18</v>
      </c>
      <c r="G943" s="3">
        <v>5</v>
      </c>
      <c r="H943">
        <v>87700</v>
      </c>
      <c r="I943">
        <v>438500</v>
      </c>
    </row>
    <row r="944" spans="1:9" x14ac:dyDescent="0.35">
      <c r="A944" t="s">
        <v>988</v>
      </c>
      <c r="B944" s="4">
        <v>46090</v>
      </c>
      <c r="C944" s="3" t="s">
        <v>51</v>
      </c>
      <c r="D944" s="3" t="s">
        <v>11</v>
      </c>
      <c r="E944" t="s">
        <v>54</v>
      </c>
      <c r="F944" t="s">
        <v>55</v>
      </c>
      <c r="G944" s="3">
        <v>6</v>
      </c>
      <c r="H944">
        <v>24500</v>
      </c>
      <c r="I944">
        <v>147000</v>
      </c>
    </row>
    <row r="945" spans="1:9" x14ac:dyDescent="0.35">
      <c r="A945" t="s">
        <v>989</v>
      </c>
      <c r="B945" s="4">
        <v>46121</v>
      </c>
      <c r="C945" s="3" t="s">
        <v>46</v>
      </c>
      <c r="D945" s="3" t="s">
        <v>36</v>
      </c>
      <c r="E945" t="s">
        <v>63</v>
      </c>
      <c r="F945" t="s">
        <v>55</v>
      </c>
      <c r="G945" s="3">
        <v>2</v>
      </c>
      <c r="H945">
        <v>27600</v>
      </c>
      <c r="I945">
        <v>55200</v>
      </c>
    </row>
    <row r="946" spans="1:9" x14ac:dyDescent="0.35">
      <c r="A946" t="s">
        <v>990</v>
      </c>
      <c r="B946" s="4">
        <v>46029</v>
      </c>
      <c r="C946" s="3" t="s">
        <v>20</v>
      </c>
      <c r="D946" s="3" t="s">
        <v>36</v>
      </c>
      <c r="E946" t="s">
        <v>63</v>
      </c>
      <c r="F946" t="s">
        <v>55</v>
      </c>
      <c r="G946" s="3">
        <v>3</v>
      </c>
      <c r="H946">
        <v>28600</v>
      </c>
      <c r="I946">
        <v>85800</v>
      </c>
    </row>
    <row r="947" spans="1:9" x14ac:dyDescent="0.35">
      <c r="A947" t="s">
        <v>991</v>
      </c>
      <c r="B947" s="4">
        <v>46083</v>
      </c>
      <c r="C947" s="3" t="s">
        <v>24</v>
      </c>
      <c r="D947" s="3" t="s">
        <v>49</v>
      </c>
      <c r="E947" t="s">
        <v>21</v>
      </c>
      <c r="F947" t="s">
        <v>22</v>
      </c>
      <c r="G947" s="3">
        <v>6</v>
      </c>
      <c r="H947">
        <v>29100</v>
      </c>
      <c r="I947">
        <v>174600</v>
      </c>
    </row>
    <row r="948" spans="1:9" x14ac:dyDescent="0.35">
      <c r="A948" t="s">
        <v>992</v>
      </c>
      <c r="B948" s="4">
        <v>46152</v>
      </c>
      <c r="C948" s="3" t="s">
        <v>34</v>
      </c>
      <c r="D948" s="3" t="s">
        <v>16</v>
      </c>
      <c r="E948" t="s">
        <v>12</v>
      </c>
      <c r="F948" t="s">
        <v>13</v>
      </c>
      <c r="G948" s="3">
        <v>7</v>
      </c>
      <c r="H948">
        <v>2800</v>
      </c>
      <c r="I948">
        <v>19600</v>
      </c>
    </row>
    <row r="949" spans="1:9" x14ac:dyDescent="0.35">
      <c r="A949" t="s">
        <v>993</v>
      </c>
      <c r="B949" s="4">
        <v>46124</v>
      </c>
      <c r="C949" s="3" t="s">
        <v>65</v>
      </c>
      <c r="D949" s="3" t="s">
        <v>16</v>
      </c>
      <c r="E949" t="s">
        <v>63</v>
      </c>
      <c r="F949" t="s">
        <v>55</v>
      </c>
      <c r="G949" s="3">
        <v>5</v>
      </c>
      <c r="H949">
        <v>34400</v>
      </c>
      <c r="I949">
        <v>172000</v>
      </c>
    </row>
    <row r="950" spans="1:9" x14ac:dyDescent="0.35">
      <c r="A950" t="s">
        <v>994</v>
      </c>
      <c r="B950" s="4">
        <v>46033</v>
      </c>
      <c r="C950" s="3" t="s">
        <v>51</v>
      </c>
      <c r="D950" s="3" t="s">
        <v>36</v>
      </c>
      <c r="E950" t="s">
        <v>54</v>
      </c>
      <c r="F950" t="s">
        <v>55</v>
      </c>
      <c r="G950" s="3">
        <v>6</v>
      </c>
      <c r="H950">
        <v>19200</v>
      </c>
      <c r="I950">
        <v>115200</v>
      </c>
    </row>
    <row r="951" spans="1:9" x14ac:dyDescent="0.35">
      <c r="A951" t="s">
        <v>995</v>
      </c>
      <c r="B951" s="4">
        <v>46074</v>
      </c>
      <c r="C951" s="3" t="s">
        <v>10</v>
      </c>
      <c r="D951" s="3" t="s">
        <v>74</v>
      </c>
      <c r="E951" t="s">
        <v>54</v>
      </c>
      <c r="F951" t="s">
        <v>55</v>
      </c>
      <c r="G951" s="3">
        <v>8</v>
      </c>
      <c r="H951">
        <v>18800</v>
      </c>
      <c r="I951">
        <v>150400</v>
      </c>
    </row>
    <row r="952" spans="1:9" x14ac:dyDescent="0.35">
      <c r="A952" t="s">
        <v>996</v>
      </c>
      <c r="B952" s="4">
        <v>46184</v>
      </c>
      <c r="C952" s="3" t="s">
        <v>29</v>
      </c>
      <c r="D952" s="3" t="s">
        <v>16</v>
      </c>
      <c r="E952" t="s">
        <v>12</v>
      </c>
      <c r="F952" t="s">
        <v>13</v>
      </c>
      <c r="G952" s="3">
        <v>5</v>
      </c>
      <c r="H952">
        <v>2500</v>
      </c>
      <c r="I952">
        <v>12500</v>
      </c>
    </row>
    <row r="953" spans="1:9" x14ac:dyDescent="0.35">
      <c r="A953" t="s">
        <v>997</v>
      </c>
      <c r="B953" s="4">
        <v>46086</v>
      </c>
      <c r="C953" s="3" t="s">
        <v>51</v>
      </c>
      <c r="D953" s="3" t="s">
        <v>11</v>
      </c>
      <c r="E953" t="s">
        <v>26</v>
      </c>
      <c r="F953" t="s">
        <v>18</v>
      </c>
      <c r="G953" s="3">
        <v>7</v>
      </c>
      <c r="H953">
        <v>78000</v>
      </c>
      <c r="I953">
        <v>546000</v>
      </c>
    </row>
    <row r="954" spans="1:9" x14ac:dyDescent="0.35">
      <c r="A954" t="s">
        <v>998</v>
      </c>
      <c r="B954" s="4">
        <v>46026</v>
      </c>
      <c r="C954" s="3" t="s">
        <v>39</v>
      </c>
      <c r="D954" s="3" t="s">
        <v>74</v>
      </c>
      <c r="E954" t="s">
        <v>26</v>
      </c>
      <c r="F954" t="s">
        <v>18</v>
      </c>
      <c r="G954" s="3">
        <v>4</v>
      </c>
      <c r="H954">
        <v>90900</v>
      </c>
      <c r="I954">
        <v>363600</v>
      </c>
    </row>
    <row r="955" spans="1:9" x14ac:dyDescent="0.35">
      <c r="A955" t="s">
        <v>999</v>
      </c>
      <c r="B955" s="4">
        <v>46188</v>
      </c>
      <c r="C955" s="3" t="s">
        <v>31</v>
      </c>
      <c r="D955" s="3" t="s">
        <v>49</v>
      </c>
      <c r="E955" t="s">
        <v>32</v>
      </c>
      <c r="F955" t="s">
        <v>13</v>
      </c>
      <c r="G955" s="3">
        <v>2</v>
      </c>
      <c r="H955">
        <v>5000</v>
      </c>
      <c r="I955">
        <v>10000</v>
      </c>
    </row>
    <row r="956" spans="1:9" x14ac:dyDescent="0.35">
      <c r="A956" t="s">
        <v>1000</v>
      </c>
      <c r="B956" s="4">
        <v>46079</v>
      </c>
      <c r="C956" s="3" t="s">
        <v>15</v>
      </c>
      <c r="D956" s="3" t="s">
        <v>49</v>
      </c>
      <c r="E956" t="s">
        <v>54</v>
      </c>
      <c r="F956" t="s">
        <v>55</v>
      </c>
      <c r="G956" s="3">
        <v>3</v>
      </c>
      <c r="H956">
        <v>19800</v>
      </c>
      <c r="I956">
        <v>59400</v>
      </c>
    </row>
    <row r="957" spans="1:9" x14ac:dyDescent="0.35">
      <c r="A957" t="s">
        <v>1001</v>
      </c>
      <c r="B957" s="4">
        <v>46050</v>
      </c>
      <c r="C957" s="3" t="s">
        <v>20</v>
      </c>
      <c r="D957" s="3" t="s">
        <v>25</v>
      </c>
      <c r="E957" t="s">
        <v>63</v>
      </c>
      <c r="F957" t="s">
        <v>55</v>
      </c>
      <c r="G957" s="3">
        <v>2</v>
      </c>
      <c r="H957">
        <v>28000</v>
      </c>
      <c r="I957">
        <v>56000</v>
      </c>
    </row>
    <row r="958" spans="1:9" x14ac:dyDescent="0.35">
      <c r="A958" t="s">
        <v>1002</v>
      </c>
      <c r="B958" s="4">
        <v>46084</v>
      </c>
      <c r="C958" s="3" t="s">
        <v>10</v>
      </c>
      <c r="D958" s="3" t="s">
        <v>11</v>
      </c>
      <c r="E958" t="s">
        <v>61</v>
      </c>
      <c r="F958" t="s">
        <v>13</v>
      </c>
      <c r="G958" s="3">
        <v>3</v>
      </c>
      <c r="H958">
        <v>8300</v>
      </c>
      <c r="I958">
        <v>24900</v>
      </c>
    </row>
    <row r="959" spans="1:9" x14ac:dyDescent="0.35">
      <c r="A959" t="s">
        <v>1003</v>
      </c>
      <c r="B959" s="4">
        <v>46140</v>
      </c>
      <c r="C959" s="3" t="s">
        <v>46</v>
      </c>
      <c r="D959" s="3" t="s">
        <v>49</v>
      </c>
      <c r="E959" t="s">
        <v>21</v>
      </c>
      <c r="F959" t="s">
        <v>22</v>
      </c>
      <c r="G959" s="3">
        <v>7</v>
      </c>
      <c r="H959">
        <v>32100</v>
      </c>
      <c r="I959">
        <v>224700</v>
      </c>
    </row>
    <row r="960" spans="1:9" x14ac:dyDescent="0.35">
      <c r="A960" t="s">
        <v>1004</v>
      </c>
      <c r="B960" s="4">
        <v>46190</v>
      </c>
      <c r="C960" s="3" t="s">
        <v>65</v>
      </c>
      <c r="D960" s="3" t="s">
        <v>49</v>
      </c>
      <c r="E960" t="s">
        <v>37</v>
      </c>
      <c r="F960" t="s">
        <v>18</v>
      </c>
      <c r="G960" s="3">
        <v>2</v>
      </c>
      <c r="H960">
        <v>58900</v>
      </c>
      <c r="I960">
        <v>117800</v>
      </c>
    </row>
    <row r="961" spans="1:9" x14ac:dyDescent="0.35">
      <c r="A961" t="s">
        <v>1005</v>
      </c>
      <c r="B961" s="4">
        <v>46087</v>
      </c>
      <c r="C961" s="3" t="s">
        <v>31</v>
      </c>
      <c r="D961" s="3" t="s">
        <v>36</v>
      </c>
      <c r="E961" t="s">
        <v>12</v>
      </c>
      <c r="F961" t="s">
        <v>13</v>
      </c>
      <c r="G961" s="3">
        <v>5</v>
      </c>
      <c r="H961">
        <v>2500</v>
      </c>
      <c r="I961">
        <v>12500</v>
      </c>
    </row>
    <row r="962" spans="1:9" x14ac:dyDescent="0.35">
      <c r="A962" t="s">
        <v>1006</v>
      </c>
      <c r="B962" s="4">
        <v>46040</v>
      </c>
      <c r="C962" s="3" t="s">
        <v>51</v>
      </c>
      <c r="D962" s="3" t="s">
        <v>11</v>
      </c>
      <c r="E962" t="s">
        <v>61</v>
      </c>
      <c r="F962" t="s">
        <v>13</v>
      </c>
      <c r="G962" s="3">
        <v>5</v>
      </c>
      <c r="H962">
        <v>8800</v>
      </c>
      <c r="I962">
        <v>44000</v>
      </c>
    </row>
    <row r="963" spans="1:9" x14ac:dyDescent="0.35">
      <c r="A963" t="s">
        <v>1007</v>
      </c>
      <c r="B963" s="4">
        <v>46023</v>
      </c>
      <c r="C963" s="3" t="s">
        <v>31</v>
      </c>
      <c r="D963" s="3" t="s">
        <v>36</v>
      </c>
      <c r="E963" t="s">
        <v>17</v>
      </c>
      <c r="F963" t="s">
        <v>18</v>
      </c>
      <c r="G963" s="3">
        <v>4</v>
      </c>
      <c r="H963">
        <v>37500</v>
      </c>
      <c r="I963">
        <v>150000</v>
      </c>
    </row>
    <row r="964" spans="1:9" x14ac:dyDescent="0.35">
      <c r="A964" t="s">
        <v>1008</v>
      </c>
      <c r="B964" s="4">
        <v>46078</v>
      </c>
      <c r="C964" s="3" t="s">
        <v>15</v>
      </c>
      <c r="D964" s="3" t="s">
        <v>49</v>
      </c>
      <c r="E964" t="s">
        <v>32</v>
      </c>
      <c r="F964" t="s">
        <v>13</v>
      </c>
      <c r="G964" s="3">
        <v>8</v>
      </c>
      <c r="H964">
        <v>4200</v>
      </c>
      <c r="I964">
        <v>33600</v>
      </c>
    </row>
    <row r="965" spans="1:9" x14ac:dyDescent="0.35">
      <c r="A965" t="s">
        <v>1009</v>
      </c>
      <c r="B965" s="4">
        <v>46199</v>
      </c>
      <c r="C965" s="3" t="s">
        <v>10</v>
      </c>
      <c r="D965" s="3" t="s">
        <v>25</v>
      </c>
      <c r="E965" t="s">
        <v>40</v>
      </c>
      <c r="F965" t="s">
        <v>13</v>
      </c>
      <c r="G965" s="3">
        <v>3</v>
      </c>
      <c r="H965">
        <v>7200</v>
      </c>
      <c r="I965">
        <v>21600</v>
      </c>
    </row>
    <row r="966" spans="1:9" x14ac:dyDescent="0.35">
      <c r="A966" t="s">
        <v>1010</v>
      </c>
      <c r="B966" s="4">
        <v>46171</v>
      </c>
      <c r="C966" s="3" t="s">
        <v>20</v>
      </c>
      <c r="D966" s="3" t="s">
        <v>11</v>
      </c>
      <c r="E966" t="s">
        <v>61</v>
      </c>
      <c r="F966" t="s">
        <v>13</v>
      </c>
      <c r="G966" s="3">
        <v>8</v>
      </c>
      <c r="H966">
        <v>8600</v>
      </c>
      <c r="I966">
        <v>68800</v>
      </c>
    </row>
    <row r="967" spans="1:9" x14ac:dyDescent="0.35">
      <c r="A967" t="s">
        <v>1011</v>
      </c>
      <c r="B967" s="4">
        <v>46110</v>
      </c>
      <c r="C967" s="3" t="s">
        <v>29</v>
      </c>
      <c r="D967" s="3" t="s">
        <v>49</v>
      </c>
      <c r="E967" t="s">
        <v>17</v>
      </c>
      <c r="F967" t="s">
        <v>18</v>
      </c>
      <c r="G967" s="3">
        <v>5</v>
      </c>
      <c r="H967">
        <v>37800</v>
      </c>
      <c r="I967">
        <v>189000</v>
      </c>
    </row>
    <row r="968" spans="1:9" x14ac:dyDescent="0.35">
      <c r="A968" t="s">
        <v>1012</v>
      </c>
      <c r="B968" s="4">
        <v>46122</v>
      </c>
      <c r="C968" s="3" t="s">
        <v>24</v>
      </c>
      <c r="D968" s="3" t="s">
        <v>36</v>
      </c>
      <c r="E968" t="s">
        <v>26</v>
      </c>
      <c r="F968" t="s">
        <v>18</v>
      </c>
      <c r="G968" s="3">
        <v>3</v>
      </c>
      <c r="H968">
        <v>85000</v>
      </c>
      <c r="I968">
        <v>255000</v>
      </c>
    </row>
    <row r="969" spans="1:9" x14ac:dyDescent="0.35">
      <c r="A969" t="s">
        <v>1013</v>
      </c>
      <c r="B969" s="4">
        <v>46165</v>
      </c>
      <c r="C969" s="3" t="s">
        <v>24</v>
      </c>
      <c r="D969" s="3" t="s">
        <v>16</v>
      </c>
      <c r="E969" t="s">
        <v>32</v>
      </c>
      <c r="F969" t="s">
        <v>13</v>
      </c>
      <c r="G969" s="3">
        <v>7</v>
      </c>
      <c r="H969">
        <v>4400</v>
      </c>
      <c r="I969">
        <v>30800</v>
      </c>
    </row>
    <row r="970" spans="1:9" x14ac:dyDescent="0.35">
      <c r="A970" t="s">
        <v>1014</v>
      </c>
      <c r="B970" s="4">
        <v>46052</v>
      </c>
      <c r="C970" s="3" t="s">
        <v>20</v>
      </c>
      <c r="D970" s="3" t="s">
        <v>36</v>
      </c>
      <c r="E970" t="s">
        <v>54</v>
      </c>
      <c r="F970" t="s">
        <v>55</v>
      </c>
      <c r="G970" s="3">
        <v>7</v>
      </c>
      <c r="H970">
        <v>19300</v>
      </c>
      <c r="I970">
        <v>135100</v>
      </c>
    </row>
    <row r="971" spans="1:9" x14ac:dyDescent="0.35">
      <c r="A971" t="s">
        <v>1015</v>
      </c>
      <c r="B971" s="4">
        <v>46074</v>
      </c>
      <c r="C971" s="3" t="s">
        <v>15</v>
      </c>
      <c r="D971" s="3" t="s">
        <v>25</v>
      </c>
      <c r="E971" t="s">
        <v>54</v>
      </c>
      <c r="F971" t="s">
        <v>55</v>
      </c>
      <c r="G971" s="3">
        <v>7</v>
      </c>
      <c r="H971">
        <v>25100</v>
      </c>
      <c r="I971">
        <v>175700</v>
      </c>
    </row>
    <row r="972" spans="1:9" x14ac:dyDescent="0.35">
      <c r="A972" t="s">
        <v>1016</v>
      </c>
      <c r="B972" s="4">
        <v>46037</v>
      </c>
      <c r="C972" s="3" t="s">
        <v>39</v>
      </c>
      <c r="D972" s="3" t="s">
        <v>49</v>
      </c>
      <c r="E972" t="s">
        <v>63</v>
      </c>
      <c r="F972" t="s">
        <v>55</v>
      </c>
      <c r="G972" s="3">
        <v>7</v>
      </c>
      <c r="H972">
        <v>26200</v>
      </c>
      <c r="I972">
        <v>183400</v>
      </c>
    </row>
    <row r="973" spans="1:9" x14ac:dyDescent="0.35">
      <c r="A973" t="s">
        <v>1017</v>
      </c>
      <c r="B973" s="4">
        <v>46056</v>
      </c>
      <c r="C973" s="3" t="s">
        <v>24</v>
      </c>
      <c r="D973" s="3" t="s">
        <v>49</v>
      </c>
      <c r="E973" t="s">
        <v>21</v>
      </c>
      <c r="F973" t="s">
        <v>22</v>
      </c>
      <c r="G973" s="3">
        <v>7</v>
      </c>
      <c r="H973">
        <v>25300</v>
      </c>
      <c r="I973">
        <v>177100</v>
      </c>
    </row>
    <row r="974" spans="1:9" x14ac:dyDescent="0.35">
      <c r="A974" t="s">
        <v>1018</v>
      </c>
      <c r="B974" s="4">
        <v>46091</v>
      </c>
      <c r="C974" s="3" t="s">
        <v>39</v>
      </c>
      <c r="D974" s="3" t="s">
        <v>49</v>
      </c>
      <c r="E974" t="s">
        <v>37</v>
      </c>
      <c r="F974" t="s">
        <v>18</v>
      </c>
      <c r="G974" s="3">
        <v>4</v>
      </c>
      <c r="H974">
        <v>54100</v>
      </c>
      <c r="I974">
        <v>216400</v>
      </c>
    </row>
    <row r="975" spans="1:9" x14ac:dyDescent="0.35">
      <c r="A975" t="s">
        <v>1019</v>
      </c>
      <c r="B975" s="4">
        <v>46080</v>
      </c>
      <c r="C975" s="3" t="s">
        <v>24</v>
      </c>
      <c r="D975" s="3" t="s">
        <v>16</v>
      </c>
      <c r="E975" t="s">
        <v>17</v>
      </c>
      <c r="F975" t="s">
        <v>18</v>
      </c>
      <c r="G975" s="3">
        <v>5</v>
      </c>
      <c r="H975">
        <v>33700</v>
      </c>
      <c r="I975">
        <v>168500</v>
      </c>
    </row>
    <row r="976" spans="1:9" x14ac:dyDescent="0.35">
      <c r="A976" t="s">
        <v>1020</v>
      </c>
      <c r="B976" s="4">
        <v>46035</v>
      </c>
      <c r="C976" s="3" t="s">
        <v>39</v>
      </c>
      <c r="D976" s="3" t="s">
        <v>11</v>
      </c>
      <c r="E976" t="s">
        <v>32</v>
      </c>
      <c r="F976" t="s">
        <v>13</v>
      </c>
      <c r="G976" s="3">
        <v>7</v>
      </c>
      <c r="H976">
        <v>4600</v>
      </c>
      <c r="I976">
        <v>32200</v>
      </c>
    </row>
    <row r="977" spans="1:9" x14ac:dyDescent="0.35">
      <c r="A977" t="s">
        <v>1021</v>
      </c>
      <c r="B977" s="4">
        <v>46184</v>
      </c>
      <c r="C977" s="3" t="s">
        <v>46</v>
      </c>
      <c r="D977" s="3" t="s">
        <v>25</v>
      </c>
      <c r="E977" t="s">
        <v>61</v>
      </c>
      <c r="F977" t="s">
        <v>13</v>
      </c>
      <c r="G977" s="3">
        <v>4</v>
      </c>
      <c r="H977">
        <v>8700</v>
      </c>
      <c r="I977">
        <v>34800</v>
      </c>
    </row>
    <row r="978" spans="1:9" x14ac:dyDescent="0.35">
      <c r="A978" t="s">
        <v>1022</v>
      </c>
      <c r="B978" s="4">
        <v>46025</v>
      </c>
      <c r="C978" s="3" t="s">
        <v>29</v>
      </c>
      <c r="D978" s="3" t="s">
        <v>16</v>
      </c>
      <c r="E978" t="s">
        <v>61</v>
      </c>
      <c r="F978" t="s">
        <v>13</v>
      </c>
      <c r="G978" s="3">
        <v>8</v>
      </c>
      <c r="H978">
        <v>7500</v>
      </c>
      <c r="I978">
        <v>60000</v>
      </c>
    </row>
    <row r="979" spans="1:9" x14ac:dyDescent="0.35">
      <c r="A979" t="s">
        <v>1023</v>
      </c>
      <c r="B979" s="4">
        <v>46202</v>
      </c>
      <c r="C979" s="3" t="s">
        <v>44</v>
      </c>
      <c r="D979" s="3" t="s">
        <v>16</v>
      </c>
      <c r="E979" t="s">
        <v>37</v>
      </c>
      <c r="F979" t="s">
        <v>18</v>
      </c>
      <c r="G979" s="3">
        <v>2</v>
      </c>
      <c r="H979">
        <v>50100</v>
      </c>
      <c r="I979">
        <v>100200</v>
      </c>
    </row>
    <row r="980" spans="1:9" x14ac:dyDescent="0.35">
      <c r="A980" t="s">
        <v>1024</v>
      </c>
      <c r="B980" s="4">
        <v>46178</v>
      </c>
      <c r="C980" s="3" t="s">
        <v>34</v>
      </c>
      <c r="D980" s="3" t="s">
        <v>16</v>
      </c>
      <c r="E980" t="s">
        <v>32</v>
      </c>
      <c r="F980" t="s">
        <v>13</v>
      </c>
      <c r="G980" s="3">
        <v>1</v>
      </c>
      <c r="H980">
        <v>4000</v>
      </c>
      <c r="I980">
        <v>4000</v>
      </c>
    </row>
    <row r="981" spans="1:9" x14ac:dyDescent="0.35">
      <c r="A981" t="s">
        <v>1025</v>
      </c>
      <c r="B981" s="4">
        <v>46188</v>
      </c>
      <c r="C981" s="3" t="s">
        <v>65</v>
      </c>
      <c r="D981" s="3" t="s">
        <v>11</v>
      </c>
      <c r="E981" t="s">
        <v>63</v>
      </c>
      <c r="F981" t="s">
        <v>55</v>
      </c>
      <c r="G981" s="3">
        <v>4</v>
      </c>
      <c r="H981">
        <v>33200</v>
      </c>
      <c r="I981">
        <v>132800</v>
      </c>
    </row>
    <row r="982" spans="1:9" x14ac:dyDescent="0.35">
      <c r="A982" t="s">
        <v>1026</v>
      </c>
      <c r="B982" s="4">
        <v>46204</v>
      </c>
      <c r="C982" s="3" t="s">
        <v>24</v>
      </c>
      <c r="D982" s="3" t="s">
        <v>25</v>
      </c>
      <c r="E982" t="s">
        <v>21</v>
      </c>
      <c r="F982" t="s">
        <v>22</v>
      </c>
      <c r="G982" s="3">
        <v>3</v>
      </c>
      <c r="H982">
        <v>26300</v>
      </c>
      <c r="I982">
        <v>78900</v>
      </c>
    </row>
    <row r="983" spans="1:9" x14ac:dyDescent="0.35">
      <c r="A983" t="s">
        <v>1027</v>
      </c>
      <c r="B983" s="4">
        <v>46188</v>
      </c>
      <c r="C983" s="3" t="s">
        <v>46</v>
      </c>
      <c r="D983" s="3" t="s">
        <v>74</v>
      </c>
      <c r="E983" t="s">
        <v>26</v>
      </c>
      <c r="F983" t="s">
        <v>18</v>
      </c>
      <c r="G983" s="3">
        <v>8</v>
      </c>
      <c r="H983">
        <v>95500</v>
      </c>
      <c r="I983">
        <v>764000</v>
      </c>
    </row>
    <row r="984" spans="1:9" x14ac:dyDescent="0.35">
      <c r="A984" t="s">
        <v>1028</v>
      </c>
      <c r="B984" s="4">
        <v>46120</v>
      </c>
      <c r="C984" s="3" t="s">
        <v>65</v>
      </c>
      <c r="D984" s="3" t="s">
        <v>25</v>
      </c>
      <c r="E984" t="s">
        <v>40</v>
      </c>
      <c r="F984" t="s">
        <v>13</v>
      </c>
      <c r="G984" s="3">
        <v>4</v>
      </c>
      <c r="H984">
        <v>6600</v>
      </c>
      <c r="I984">
        <v>26400</v>
      </c>
    </row>
    <row r="985" spans="1:9" x14ac:dyDescent="0.35">
      <c r="A985" t="s">
        <v>1029</v>
      </c>
      <c r="B985" s="4">
        <v>46092</v>
      </c>
      <c r="C985" s="3" t="s">
        <v>51</v>
      </c>
      <c r="D985" s="3" t="s">
        <v>16</v>
      </c>
      <c r="E985" t="s">
        <v>37</v>
      </c>
      <c r="F985" t="s">
        <v>18</v>
      </c>
      <c r="G985" s="3">
        <v>4</v>
      </c>
      <c r="H985">
        <v>54800</v>
      </c>
      <c r="I985">
        <v>219200</v>
      </c>
    </row>
    <row r="986" spans="1:9" x14ac:dyDescent="0.35">
      <c r="A986" t="s">
        <v>1030</v>
      </c>
      <c r="B986" s="4">
        <v>46058</v>
      </c>
      <c r="C986" s="3" t="s">
        <v>31</v>
      </c>
      <c r="D986" s="3" t="s">
        <v>74</v>
      </c>
      <c r="E986" t="s">
        <v>21</v>
      </c>
      <c r="F986" t="s">
        <v>22</v>
      </c>
      <c r="G986" s="3">
        <v>8</v>
      </c>
      <c r="H986">
        <v>24600</v>
      </c>
      <c r="I986">
        <v>196800</v>
      </c>
    </row>
    <row r="987" spans="1:9" x14ac:dyDescent="0.35">
      <c r="A987" t="s">
        <v>1031</v>
      </c>
      <c r="B987" s="4">
        <v>46060</v>
      </c>
      <c r="C987" s="3" t="s">
        <v>34</v>
      </c>
      <c r="D987" s="3" t="s">
        <v>11</v>
      </c>
      <c r="E987" t="s">
        <v>37</v>
      </c>
      <c r="F987" t="s">
        <v>18</v>
      </c>
      <c r="G987" s="3">
        <v>8</v>
      </c>
      <c r="H987">
        <v>53300</v>
      </c>
      <c r="I987">
        <v>426400</v>
      </c>
    </row>
    <row r="988" spans="1:9" x14ac:dyDescent="0.35">
      <c r="A988" t="s">
        <v>1032</v>
      </c>
      <c r="B988" s="4">
        <v>46049</v>
      </c>
      <c r="C988" s="3" t="s">
        <v>46</v>
      </c>
      <c r="D988" s="3" t="s">
        <v>36</v>
      </c>
      <c r="E988" t="s">
        <v>61</v>
      </c>
      <c r="F988" t="s">
        <v>13</v>
      </c>
      <c r="G988" s="3">
        <v>6</v>
      </c>
      <c r="H988">
        <v>8600</v>
      </c>
      <c r="I988">
        <v>51600</v>
      </c>
    </row>
    <row r="989" spans="1:9" x14ac:dyDescent="0.35">
      <c r="A989" t="s">
        <v>1033</v>
      </c>
      <c r="B989" s="4">
        <v>46170</v>
      </c>
      <c r="C989" s="3" t="s">
        <v>10</v>
      </c>
      <c r="D989" s="3" t="s">
        <v>11</v>
      </c>
      <c r="E989" t="s">
        <v>17</v>
      </c>
      <c r="F989" t="s">
        <v>18</v>
      </c>
      <c r="G989" s="3">
        <v>1</v>
      </c>
      <c r="H989">
        <v>39700</v>
      </c>
      <c r="I989">
        <v>39700</v>
      </c>
    </row>
    <row r="990" spans="1:9" x14ac:dyDescent="0.35">
      <c r="A990" t="s">
        <v>1034</v>
      </c>
      <c r="B990" s="4">
        <v>46079</v>
      </c>
      <c r="C990" s="3" t="s">
        <v>15</v>
      </c>
      <c r="D990" s="3" t="s">
        <v>36</v>
      </c>
      <c r="E990" t="s">
        <v>54</v>
      </c>
      <c r="F990" t="s">
        <v>55</v>
      </c>
      <c r="G990" s="3">
        <v>2</v>
      </c>
      <c r="H990">
        <v>21700</v>
      </c>
      <c r="I990">
        <v>43400</v>
      </c>
    </row>
    <row r="991" spans="1:9" x14ac:dyDescent="0.35">
      <c r="A991" t="s">
        <v>1035</v>
      </c>
      <c r="B991" s="4">
        <v>46073</v>
      </c>
      <c r="C991" s="3" t="s">
        <v>20</v>
      </c>
      <c r="D991" s="3" t="s">
        <v>36</v>
      </c>
      <c r="E991" t="s">
        <v>12</v>
      </c>
      <c r="F991" t="s">
        <v>13</v>
      </c>
      <c r="G991" s="3">
        <v>8</v>
      </c>
      <c r="H991">
        <v>2600</v>
      </c>
      <c r="I991">
        <v>20800</v>
      </c>
    </row>
    <row r="992" spans="1:9" x14ac:dyDescent="0.35">
      <c r="A992" t="s">
        <v>1036</v>
      </c>
      <c r="B992" s="4">
        <v>46155</v>
      </c>
      <c r="C992" s="3" t="s">
        <v>65</v>
      </c>
      <c r="D992" s="3" t="s">
        <v>36</v>
      </c>
      <c r="E992" t="s">
        <v>63</v>
      </c>
      <c r="F992" t="s">
        <v>55</v>
      </c>
      <c r="G992" s="3">
        <v>5</v>
      </c>
      <c r="H992">
        <v>30500</v>
      </c>
      <c r="I992">
        <v>152500</v>
      </c>
    </row>
    <row r="993" spans="1:9" x14ac:dyDescent="0.35">
      <c r="A993" t="s">
        <v>1037</v>
      </c>
      <c r="B993" s="4">
        <v>46104</v>
      </c>
      <c r="C993" s="3" t="s">
        <v>15</v>
      </c>
      <c r="D993" s="3" t="s">
        <v>25</v>
      </c>
      <c r="E993" t="s">
        <v>37</v>
      </c>
      <c r="F993" t="s">
        <v>18</v>
      </c>
      <c r="G993" s="3">
        <v>1</v>
      </c>
      <c r="H993">
        <v>49800</v>
      </c>
      <c r="I993">
        <v>49800</v>
      </c>
    </row>
    <row r="994" spans="1:9" x14ac:dyDescent="0.35">
      <c r="A994" t="s">
        <v>1038</v>
      </c>
      <c r="B994" s="4">
        <v>46025</v>
      </c>
      <c r="C994" s="3" t="s">
        <v>34</v>
      </c>
      <c r="D994" s="3" t="s">
        <v>11</v>
      </c>
      <c r="E994" t="s">
        <v>61</v>
      </c>
      <c r="F994" t="s">
        <v>13</v>
      </c>
      <c r="G994" s="3">
        <v>5</v>
      </c>
      <c r="H994">
        <v>9100</v>
      </c>
      <c r="I994">
        <v>45500</v>
      </c>
    </row>
    <row r="995" spans="1:9" x14ac:dyDescent="0.35">
      <c r="A995" t="s">
        <v>1039</v>
      </c>
      <c r="B995" s="4">
        <v>46156</v>
      </c>
      <c r="C995" s="3" t="s">
        <v>65</v>
      </c>
      <c r="D995" s="3" t="s">
        <v>49</v>
      </c>
      <c r="E995" t="s">
        <v>63</v>
      </c>
      <c r="F995" t="s">
        <v>55</v>
      </c>
      <c r="G995" s="3">
        <v>4</v>
      </c>
      <c r="H995">
        <v>32500</v>
      </c>
      <c r="I995">
        <v>130000</v>
      </c>
    </row>
    <row r="996" spans="1:9" x14ac:dyDescent="0.35">
      <c r="A996" t="s">
        <v>1040</v>
      </c>
      <c r="B996" s="4">
        <v>46160</v>
      </c>
      <c r="C996" s="3" t="s">
        <v>39</v>
      </c>
      <c r="D996" s="3" t="s">
        <v>36</v>
      </c>
      <c r="E996" t="s">
        <v>54</v>
      </c>
      <c r="F996" t="s">
        <v>55</v>
      </c>
      <c r="G996" s="3">
        <v>7</v>
      </c>
      <c r="H996">
        <v>23200</v>
      </c>
      <c r="I996">
        <v>162400</v>
      </c>
    </row>
    <row r="997" spans="1:9" x14ac:dyDescent="0.35">
      <c r="A997" t="s">
        <v>1041</v>
      </c>
      <c r="B997" s="4">
        <v>46189</v>
      </c>
      <c r="C997" s="3" t="s">
        <v>31</v>
      </c>
      <c r="D997" s="3" t="s">
        <v>36</v>
      </c>
      <c r="E997" t="s">
        <v>12</v>
      </c>
      <c r="F997" t="s">
        <v>13</v>
      </c>
      <c r="G997" s="3">
        <v>2</v>
      </c>
      <c r="H997">
        <v>2700</v>
      </c>
      <c r="I997">
        <v>5400</v>
      </c>
    </row>
    <row r="998" spans="1:9" x14ac:dyDescent="0.35">
      <c r="A998" t="s">
        <v>1042</v>
      </c>
      <c r="B998" s="4">
        <v>46181</v>
      </c>
      <c r="C998" s="3" t="s">
        <v>46</v>
      </c>
      <c r="D998" s="3" t="s">
        <v>74</v>
      </c>
      <c r="E998" t="s">
        <v>17</v>
      </c>
      <c r="F998" t="s">
        <v>18</v>
      </c>
      <c r="G998" s="3">
        <v>1</v>
      </c>
      <c r="H998">
        <v>36700</v>
      </c>
      <c r="I998">
        <v>36700</v>
      </c>
    </row>
    <row r="999" spans="1:9" x14ac:dyDescent="0.35">
      <c r="A999" t="s">
        <v>1043</v>
      </c>
      <c r="B999" s="4">
        <v>46161</v>
      </c>
      <c r="C999" s="3" t="s">
        <v>31</v>
      </c>
      <c r="D999" s="3" t="s">
        <v>16</v>
      </c>
      <c r="E999" t="s">
        <v>61</v>
      </c>
      <c r="F999" t="s">
        <v>13</v>
      </c>
      <c r="G999" s="3">
        <v>1</v>
      </c>
      <c r="H999">
        <v>8600</v>
      </c>
      <c r="I999">
        <v>8600</v>
      </c>
    </row>
    <row r="1000" spans="1:9" x14ac:dyDescent="0.35">
      <c r="A1000" t="s">
        <v>1044</v>
      </c>
      <c r="B1000" s="4">
        <v>46139</v>
      </c>
      <c r="C1000" s="3" t="s">
        <v>39</v>
      </c>
      <c r="D1000" s="3" t="s">
        <v>36</v>
      </c>
      <c r="E1000" t="s">
        <v>32</v>
      </c>
      <c r="F1000" t="s">
        <v>13</v>
      </c>
      <c r="G1000" s="3">
        <v>1</v>
      </c>
      <c r="H1000">
        <v>4100</v>
      </c>
      <c r="I1000">
        <v>4100</v>
      </c>
    </row>
    <row r="1001" spans="1:9" x14ac:dyDescent="0.35">
      <c r="A1001" t="s">
        <v>1045</v>
      </c>
      <c r="B1001" s="4">
        <v>46132</v>
      </c>
      <c r="C1001" s="3" t="s">
        <v>46</v>
      </c>
      <c r="D1001" s="3" t="s">
        <v>16</v>
      </c>
      <c r="E1001" t="s">
        <v>37</v>
      </c>
      <c r="F1001" t="s">
        <v>18</v>
      </c>
      <c r="G1001" s="3">
        <v>1</v>
      </c>
      <c r="H1001">
        <v>48100</v>
      </c>
      <c r="I1001">
        <v>48100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91F8-0378-471D-A97F-9BAFFFA1D0D2}">
  <dimension ref="C3:G4"/>
  <sheetViews>
    <sheetView workbookViewId="0">
      <selection activeCell="D4" sqref="D4"/>
    </sheetView>
  </sheetViews>
  <sheetFormatPr defaultRowHeight="14.5" x14ac:dyDescent="0.35"/>
  <cols>
    <col min="3" max="3" width="9.81640625" bestFit="1" customWidth="1"/>
    <col min="4" max="4" width="11.1796875" bestFit="1" customWidth="1"/>
    <col min="5" max="5" width="12.6328125" bestFit="1" customWidth="1"/>
  </cols>
  <sheetData>
    <row r="3" spans="3:7" x14ac:dyDescent="0.35">
      <c r="C3" t="s">
        <v>1048</v>
      </c>
      <c r="D3" t="s">
        <v>1049</v>
      </c>
      <c r="E3" t="s">
        <v>1050</v>
      </c>
      <c r="F3" s="5" t="s">
        <v>1051</v>
      </c>
      <c r="G3" s="5"/>
    </row>
    <row r="4" spans="3:7" x14ac:dyDescent="0.35">
      <c r="C4">
        <f>SUM('Clean data'!I:I)</f>
        <v>117000400</v>
      </c>
      <c r="D4">
        <f>COUNTA('Clean data'!A:A)</f>
        <v>1001</v>
      </c>
      <c r="E4">
        <f>SUM('Clean data'!G:G)</f>
        <v>4470</v>
      </c>
      <c r="F4" s="6">
        <f>SUM('Clean data'!I:I)/COUNTA('Clean data'!A:A)-1</f>
        <v>116882.51648351649</v>
      </c>
      <c r="G4" s="6"/>
    </row>
  </sheetData>
  <mergeCells count="2">
    <mergeCell ref="F3:G3"/>
    <mergeCell ref="F4:G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4"/>
  <sheetViews>
    <sheetView workbookViewId="0">
      <selection sqref="A1:I1004"/>
    </sheetView>
  </sheetViews>
  <sheetFormatPr defaultRowHeight="14.5" x14ac:dyDescent="0.35"/>
  <cols>
    <col min="1" max="1" width="10" customWidth="1"/>
    <col min="2" max="2" width="12.1796875" customWidth="1"/>
    <col min="3" max="3" width="11" customWidth="1"/>
    <col min="5" max="5" width="9.453125" customWidth="1"/>
    <col min="6" max="6" width="10.26953125" customWidth="1"/>
    <col min="7" max="7" width="10.1796875" customWidth="1"/>
    <col min="8" max="8" width="10.90625" customWidth="1"/>
  </cols>
  <sheetData>
    <row r="1" spans="1:9" x14ac:dyDescent="0.35">
      <c r="A1" s="2" t="s">
        <v>0</v>
      </c>
      <c r="B1" s="2" t="s">
        <v>1</v>
      </c>
      <c r="C1" s="2" t="s">
        <v>2</v>
      </c>
      <c r="D1" s="2" t="s">
        <v>3</v>
      </c>
      <c r="E1" s="2" t="s">
        <v>4</v>
      </c>
      <c r="F1" s="2" t="s">
        <v>5</v>
      </c>
      <c r="G1" s="2" t="s">
        <v>6</v>
      </c>
      <c r="H1" s="2" t="s">
        <v>7</v>
      </c>
      <c r="I1" s="2" t="s">
        <v>8</v>
      </c>
    </row>
    <row r="2" spans="1:9" x14ac:dyDescent="0.35">
      <c r="A2" t="s">
        <v>9</v>
      </c>
      <c r="B2" s="1">
        <v>46161</v>
      </c>
      <c r="C2" t="s">
        <v>10</v>
      </c>
      <c r="D2" t="s">
        <v>11</v>
      </c>
      <c r="E2" t="s">
        <v>12</v>
      </c>
      <c r="F2" t="s">
        <v>13</v>
      </c>
      <c r="G2">
        <v>7</v>
      </c>
      <c r="H2">
        <v>2600</v>
      </c>
      <c r="I2">
        <v>18200</v>
      </c>
    </row>
    <row r="3" spans="1:9" x14ac:dyDescent="0.35">
      <c r="A3" t="s">
        <v>14</v>
      </c>
      <c r="B3" s="1">
        <v>46183</v>
      </c>
      <c r="C3" t="s">
        <v>15</v>
      </c>
      <c r="D3" t="s">
        <v>16</v>
      </c>
      <c r="E3" t="s">
        <v>17</v>
      </c>
      <c r="F3" t="s">
        <v>18</v>
      </c>
      <c r="G3">
        <v>5</v>
      </c>
      <c r="H3">
        <v>38400</v>
      </c>
      <c r="I3">
        <v>192000</v>
      </c>
    </row>
    <row r="4" spans="1:9" x14ac:dyDescent="0.35">
      <c r="A4" t="s">
        <v>19</v>
      </c>
      <c r="B4" s="1">
        <v>46072</v>
      </c>
      <c r="C4" t="s">
        <v>20</v>
      </c>
      <c r="D4" t="s">
        <v>16</v>
      </c>
      <c r="E4" t="s">
        <v>21</v>
      </c>
      <c r="F4" t="s">
        <v>22</v>
      </c>
      <c r="G4">
        <v>5</v>
      </c>
      <c r="H4">
        <v>25700</v>
      </c>
      <c r="I4">
        <v>128500</v>
      </c>
    </row>
    <row r="5" spans="1:9" x14ac:dyDescent="0.35">
      <c r="A5" t="s">
        <v>23</v>
      </c>
      <c r="B5" s="1">
        <v>46175</v>
      </c>
      <c r="C5" t="s">
        <v>24</v>
      </c>
      <c r="D5" t="s">
        <v>25</v>
      </c>
      <c r="E5" t="s">
        <v>26</v>
      </c>
      <c r="F5" t="s">
        <v>18</v>
      </c>
      <c r="G5">
        <v>6</v>
      </c>
      <c r="H5">
        <v>85800</v>
      </c>
      <c r="I5">
        <v>514800</v>
      </c>
    </row>
    <row r="6" spans="1:9" x14ac:dyDescent="0.35">
      <c r="A6" t="s">
        <v>27</v>
      </c>
      <c r="B6" s="1">
        <v>46112</v>
      </c>
      <c r="C6" t="s">
        <v>24</v>
      </c>
      <c r="D6" t="s">
        <v>11</v>
      </c>
      <c r="E6" t="s">
        <v>12</v>
      </c>
      <c r="F6" t="s">
        <v>13</v>
      </c>
      <c r="G6">
        <v>8</v>
      </c>
      <c r="H6">
        <v>2400</v>
      </c>
      <c r="I6">
        <v>19200</v>
      </c>
    </row>
    <row r="7" spans="1:9" x14ac:dyDescent="0.35">
      <c r="A7" t="s">
        <v>28</v>
      </c>
      <c r="B7" s="1">
        <v>46097</v>
      </c>
      <c r="C7" t="s">
        <v>29</v>
      </c>
      <c r="D7" t="s">
        <v>11</v>
      </c>
      <c r="E7" t="s">
        <v>12</v>
      </c>
      <c r="F7" t="s">
        <v>13</v>
      </c>
      <c r="G7">
        <v>2</v>
      </c>
      <c r="H7">
        <v>2300</v>
      </c>
      <c r="I7">
        <v>4600</v>
      </c>
    </row>
    <row r="8" spans="1:9" x14ac:dyDescent="0.35">
      <c r="A8" t="s">
        <v>30</v>
      </c>
      <c r="B8" s="1">
        <v>46074</v>
      </c>
      <c r="C8" t="s">
        <v>31</v>
      </c>
      <c r="D8" t="s">
        <v>25</v>
      </c>
      <c r="E8" t="s">
        <v>32</v>
      </c>
      <c r="F8" t="s">
        <v>13</v>
      </c>
      <c r="G8">
        <v>4</v>
      </c>
      <c r="H8">
        <v>5000</v>
      </c>
      <c r="I8">
        <v>20000</v>
      </c>
    </row>
    <row r="9" spans="1:9" x14ac:dyDescent="0.35">
      <c r="A9" t="s">
        <v>33</v>
      </c>
      <c r="B9" s="1">
        <v>46193</v>
      </c>
      <c r="C9" t="s">
        <v>34</v>
      </c>
      <c r="D9" t="s">
        <v>25</v>
      </c>
      <c r="E9" t="s">
        <v>21</v>
      </c>
      <c r="F9" t="s">
        <v>22</v>
      </c>
      <c r="G9">
        <v>5</v>
      </c>
      <c r="H9">
        <v>24500</v>
      </c>
      <c r="I9">
        <v>122500</v>
      </c>
    </row>
    <row r="10" spans="1:9" x14ac:dyDescent="0.35">
      <c r="A10" t="s">
        <v>35</v>
      </c>
      <c r="B10" s="1">
        <v>46127</v>
      </c>
      <c r="C10" t="s">
        <v>15</v>
      </c>
      <c r="D10" t="s">
        <v>36</v>
      </c>
      <c r="E10" t="s">
        <v>37</v>
      </c>
      <c r="F10" t="s">
        <v>18</v>
      </c>
      <c r="G10">
        <v>8</v>
      </c>
      <c r="H10">
        <v>55400</v>
      </c>
      <c r="I10">
        <v>443200</v>
      </c>
    </row>
    <row r="11" spans="1:9" x14ac:dyDescent="0.35">
      <c r="A11" t="s">
        <v>38</v>
      </c>
      <c r="B11" s="1">
        <v>46094</v>
      </c>
      <c r="C11" t="s">
        <v>39</v>
      </c>
      <c r="D11" t="s">
        <v>11</v>
      </c>
      <c r="E11" t="s">
        <v>40</v>
      </c>
      <c r="F11" t="s">
        <v>13</v>
      </c>
      <c r="G11">
        <v>2</v>
      </c>
      <c r="H11">
        <v>7400</v>
      </c>
      <c r="I11">
        <v>14800</v>
      </c>
    </row>
    <row r="12" spans="1:9" x14ac:dyDescent="0.35">
      <c r="A12" t="s">
        <v>41</v>
      </c>
      <c r="B12" s="1">
        <v>46057</v>
      </c>
      <c r="C12" t="s">
        <v>34</v>
      </c>
      <c r="D12" t="s">
        <v>11</v>
      </c>
      <c r="E12" t="s">
        <v>37</v>
      </c>
      <c r="F12" t="s">
        <v>18</v>
      </c>
      <c r="G12">
        <v>5</v>
      </c>
      <c r="H12">
        <v>60600</v>
      </c>
      <c r="I12">
        <v>303000</v>
      </c>
    </row>
    <row r="13" spans="1:9" x14ac:dyDescent="0.35">
      <c r="A13" t="s">
        <v>42</v>
      </c>
      <c r="B13" s="1">
        <v>46036</v>
      </c>
      <c r="C13" t="s">
        <v>29</v>
      </c>
      <c r="D13" t="s">
        <v>16</v>
      </c>
      <c r="E13" t="s">
        <v>26</v>
      </c>
      <c r="F13" t="s">
        <v>18</v>
      </c>
      <c r="G13">
        <v>4</v>
      </c>
      <c r="H13">
        <v>88500</v>
      </c>
      <c r="I13">
        <v>354000</v>
      </c>
    </row>
    <row r="14" spans="1:9" x14ac:dyDescent="0.35">
      <c r="A14" t="s">
        <v>43</v>
      </c>
      <c r="B14" s="1">
        <v>46137</v>
      </c>
      <c r="C14" t="s">
        <v>44</v>
      </c>
      <c r="D14" t="s">
        <v>25</v>
      </c>
      <c r="E14" t="s">
        <v>32</v>
      </c>
      <c r="F14" t="s">
        <v>13</v>
      </c>
      <c r="G14">
        <v>2</v>
      </c>
      <c r="H14">
        <v>4800</v>
      </c>
      <c r="I14">
        <v>9600</v>
      </c>
    </row>
    <row r="15" spans="1:9" x14ac:dyDescent="0.35">
      <c r="A15" t="s">
        <v>45</v>
      </c>
      <c r="B15" s="1">
        <v>46185</v>
      </c>
      <c r="C15" t="s">
        <v>46</v>
      </c>
      <c r="D15" t="s">
        <v>11</v>
      </c>
      <c r="E15" t="s">
        <v>32</v>
      </c>
      <c r="F15" t="s">
        <v>13</v>
      </c>
      <c r="G15">
        <v>7</v>
      </c>
      <c r="H15">
        <v>4800</v>
      </c>
      <c r="I15">
        <v>33600</v>
      </c>
    </row>
    <row r="16" spans="1:9" x14ac:dyDescent="0.35">
      <c r="A16" t="s">
        <v>47</v>
      </c>
      <c r="B16" s="1">
        <v>46125</v>
      </c>
      <c r="C16" t="s">
        <v>24</v>
      </c>
      <c r="D16" t="s">
        <v>36</v>
      </c>
      <c r="E16" t="s">
        <v>17</v>
      </c>
      <c r="F16" t="s">
        <v>18</v>
      </c>
      <c r="G16">
        <v>4</v>
      </c>
      <c r="H16">
        <v>34300</v>
      </c>
      <c r="I16">
        <v>137200</v>
      </c>
    </row>
    <row r="17" spans="1:9" x14ac:dyDescent="0.35">
      <c r="A17" t="s">
        <v>48</v>
      </c>
      <c r="B17" s="1">
        <v>46167</v>
      </c>
      <c r="C17" t="s">
        <v>46</v>
      </c>
      <c r="D17" t="s">
        <v>49</v>
      </c>
      <c r="E17" t="s">
        <v>40</v>
      </c>
      <c r="F17" t="s">
        <v>13</v>
      </c>
      <c r="G17">
        <v>1</v>
      </c>
      <c r="H17">
        <v>6100</v>
      </c>
      <c r="I17">
        <v>6100</v>
      </c>
    </row>
    <row r="18" spans="1:9" x14ac:dyDescent="0.35">
      <c r="A18" t="s">
        <v>50</v>
      </c>
      <c r="B18" s="1">
        <v>46162</v>
      </c>
      <c r="C18" t="s">
        <v>51</v>
      </c>
      <c r="D18" t="s">
        <v>49</v>
      </c>
      <c r="E18" t="s">
        <v>17</v>
      </c>
      <c r="F18" t="s">
        <v>18</v>
      </c>
      <c r="G18">
        <v>5</v>
      </c>
      <c r="H18">
        <v>36000</v>
      </c>
      <c r="I18">
        <v>180000</v>
      </c>
    </row>
    <row r="19" spans="1:9" x14ac:dyDescent="0.35">
      <c r="A19" t="s">
        <v>52</v>
      </c>
      <c r="B19" s="1">
        <v>46191</v>
      </c>
      <c r="C19" t="s">
        <v>39</v>
      </c>
      <c r="D19" t="s">
        <v>36</v>
      </c>
      <c r="E19" t="s">
        <v>37</v>
      </c>
      <c r="F19" t="s">
        <v>18</v>
      </c>
      <c r="G19">
        <v>5</v>
      </c>
      <c r="H19">
        <v>57700</v>
      </c>
      <c r="I19">
        <v>288500</v>
      </c>
    </row>
    <row r="20" spans="1:9" x14ac:dyDescent="0.35">
      <c r="A20" t="s">
        <v>53</v>
      </c>
      <c r="B20" s="1">
        <v>46162</v>
      </c>
      <c r="C20" t="s">
        <v>20</v>
      </c>
      <c r="D20" t="s">
        <v>49</v>
      </c>
      <c r="E20" t="s">
        <v>54</v>
      </c>
      <c r="F20" t="s">
        <v>55</v>
      </c>
      <c r="G20">
        <v>7</v>
      </c>
      <c r="H20">
        <v>25200</v>
      </c>
      <c r="I20">
        <v>176400</v>
      </c>
    </row>
    <row r="21" spans="1:9" x14ac:dyDescent="0.35">
      <c r="A21" t="s">
        <v>56</v>
      </c>
      <c r="B21" s="1">
        <v>46182</v>
      </c>
      <c r="C21" t="s">
        <v>24</v>
      </c>
      <c r="D21" t="s">
        <v>36</v>
      </c>
      <c r="E21" t="s">
        <v>32</v>
      </c>
      <c r="F21" t="s">
        <v>13</v>
      </c>
      <c r="G21">
        <v>8</v>
      </c>
      <c r="H21">
        <v>5100</v>
      </c>
      <c r="I21">
        <v>40800</v>
      </c>
    </row>
    <row r="22" spans="1:9" x14ac:dyDescent="0.35">
      <c r="A22" t="s">
        <v>57</v>
      </c>
      <c r="B22" s="1">
        <v>46036</v>
      </c>
      <c r="C22" t="s">
        <v>31</v>
      </c>
      <c r="D22" t="s">
        <v>11</v>
      </c>
      <c r="E22" t="s">
        <v>37</v>
      </c>
      <c r="F22" t="s">
        <v>18</v>
      </c>
      <c r="G22">
        <v>6</v>
      </c>
      <c r="H22">
        <v>62700</v>
      </c>
      <c r="I22">
        <v>376200</v>
      </c>
    </row>
    <row r="23" spans="1:9" x14ac:dyDescent="0.35">
      <c r="A23" t="s">
        <v>58</v>
      </c>
      <c r="B23" s="1">
        <v>46067</v>
      </c>
      <c r="C23" t="s">
        <v>20</v>
      </c>
      <c r="D23" t="s">
        <v>36</v>
      </c>
      <c r="E23" t="s">
        <v>12</v>
      </c>
      <c r="F23" t="s">
        <v>13</v>
      </c>
      <c r="G23">
        <v>8</v>
      </c>
      <c r="H23">
        <v>2500</v>
      </c>
      <c r="I23">
        <v>20000</v>
      </c>
    </row>
    <row r="24" spans="1:9" x14ac:dyDescent="0.35">
      <c r="A24" t="s">
        <v>59</v>
      </c>
      <c r="B24" s="1">
        <v>46144</v>
      </c>
      <c r="C24" t="s">
        <v>20</v>
      </c>
      <c r="D24" t="s">
        <v>49</v>
      </c>
      <c r="E24" t="s">
        <v>37</v>
      </c>
      <c r="F24" t="s">
        <v>18</v>
      </c>
      <c r="G24">
        <v>2</v>
      </c>
      <c r="H24">
        <v>59100</v>
      </c>
      <c r="I24">
        <v>118200</v>
      </c>
    </row>
    <row r="25" spans="1:9" x14ac:dyDescent="0.35">
      <c r="A25" t="s">
        <v>60</v>
      </c>
      <c r="B25" s="1">
        <v>46154</v>
      </c>
      <c r="C25" t="s">
        <v>29</v>
      </c>
      <c r="D25" t="s">
        <v>49</v>
      </c>
      <c r="E25" t="s">
        <v>61</v>
      </c>
      <c r="F25" t="s">
        <v>13</v>
      </c>
      <c r="G25">
        <v>7</v>
      </c>
      <c r="H25">
        <v>7500</v>
      </c>
      <c r="I25">
        <v>52500</v>
      </c>
    </row>
    <row r="26" spans="1:9" x14ac:dyDescent="0.35">
      <c r="A26" t="s">
        <v>62</v>
      </c>
      <c r="B26" s="1">
        <v>46150</v>
      </c>
      <c r="C26" t="s">
        <v>51</v>
      </c>
      <c r="D26" t="s">
        <v>25</v>
      </c>
      <c r="E26" t="s">
        <v>63</v>
      </c>
      <c r="F26" t="s">
        <v>55</v>
      </c>
      <c r="G26">
        <v>6</v>
      </c>
      <c r="H26">
        <v>28800</v>
      </c>
      <c r="I26">
        <v>172800</v>
      </c>
    </row>
    <row r="27" spans="1:9" x14ac:dyDescent="0.35">
      <c r="A27" t="s">
        <v>64</v>
      </c>
      <c r="B27" s="1">
        <v>46118</v>
      </c>
      <c r="C27" t="s">
        <v>65</v>
      </c>
      <c r="D27" t="s">
        <v>36</v>
      </c>
      <c r="E27" t="s">
        <v>12</v>
      </c>
      <c r="F27" t="s">
        <v>13</v>
      </c>
      <c r="G27">
        <v>7</v>
      </c>
      <c r="H27">
        <v>2900</v>
      </c>
      <c r="I27">
        <v>20300</v>
      </c>
    </row>
    <row r="28" spans="1:9" x14ac:dyDescent="0.35">
      <c r="A28" t="s">
        <v>66</v>
      </c>
      <c r="B28" s="1">
        <v>46168</v>
      </c>
      <c r="C28" t="s">
        <v>15</v>
      </c>
      <c r="D28" t="s">
        <v>36</v>
      </c>
      <c r="E28" t="s">
        <v>40</v>
      </c>
      <c r="F28" t="s">
        <v>13</v>
      </c>
      <c r="G28">
        <v>1</v>
      </c>
      <c r="H28">
        <v>5500</v>
      </c>
      <c r="I28">
        <v>5500</v>
      </c>
    </row>
    <row r="29" spans="1:9" x14ac:dyDescent="0.35">
      <c r="A29" t="s">
        <v>67</v>
      </c>
      <c r="B29" s="1">
        <v>46054</v>
      </c>
      <c r="C29" t="s">
        <v>31</v>
      </c>
      <c r="D29" t="s">
        <v>25</v>
      </c>
      <c r="E29" t="s">
        <v>17</v>
      </c>
      <c r="F29" t="s">
        <v>18</v>
      </c>
      <c r="G29">
        <v>5</v>
      </c>
      <c r="H29">
        <v>32200</v>
      </c>
      <c r="I29">
        <v>161000</v>
      </c>
    </row>
    <row r="30" spans="1:9" x14ac:dyDescent="0.35">
      <c r="A30" t="s">
        <v>68</v>
      </c>
      <c r="B30" s="1">
        <v>46186</v>
      </c>
      <c r="C30" t="s">
        <v>10</v>
      </c>
      <c r="D30" t="s">
        <v>49</v>
      </c>
      <c r="E30" t="s">
        <v>54</v>
      </c>
      <c r="F30" t="s">
        <v>55</v>
      </c>
      <c r="G30">
        <v>5</v>
      </c>
      <c r="H30">
        <v>23300</v>
      </c>
      <c r="I30">
        <v>116500</v>
      </c>
    </row>
    <row r="31" spans="1:9" x14ac:dyDescent="0.35">
      <c r="A31" t="s">
        <v>69</v>
      </c>
      <c r="B31" s="1">
        <v>46103</v>
      </c>
      <c r="C31" t="s">
        <v>39</v>
      </c>
      <c r="D31" t="s">
        <v>11</v>
      </c>
      <c r="E31" t="s">
        <v>17</v>
      </c>
      <c r="F31" t="s">
        <v>18</v>
      </c>
      <c r="G31">
        <v>3</v>
      </c>
      <c r="H31">
        <v>33400</v>
      </c>
      <c r="I31">
        <v>100200</v>
      </c>
    </row>
    <row r="32" spans="1:9" x14ac:dyDescent="0.35">
      <c r="A32" t="s">
        <v>70</v>
      </c>
      <c r="B32" s="1">
        <v>46086</v>
      </c>
      <c r="C32" t="s">
        <v>20</v>
      </c>
      <c r="D32" t="s">
        <v>49</v>
      </c>
      <c r="E32" t="s">
        <v>54</v>
      </c>
      <c r="F32" t="s">
        <v>55</v>
      </c>
      <c r="G32">
        <v>2</v>
      </c>
      <c r="H32">
        <v>21600</v>
      </c>
      <c r="I32">
        <v>43200</v>
      </c>
    </row>
    <row r="33" spans="1:9" x14ac:dyDescent="0.35">
      <c r="A33" t="s">
        <v>71</v>
      </c>
      <c r="B33" s="1">
        <v>46178</v>
      </c>
      <c r="C33" t="s">
        <v>29</v>
      </c>
      <c r="D33" t="s">
        <v>49</v>
      </c>
      <c r="E33" t="s">
        <v>54</v>
      </c>
      <c r="F33" t="s">
        <v>55</v>
      </c>
      <c r="G33">
        <v>2</v>
      </c>
      <c r="H33">
        <v>19900</v>
      </c>
      <c r="I33">
        <v>39800</v>
      </c>
    </row>
    <row r="34" spans="1:9" x14ac:dyDescent="0.35">
      <c r="A34" t="s">
        <v>72</v>
      </c>
      <c r="B34" s="1">
        <v>46107</v>
      </c>
      <c r="C34" t="s">
        <v>24</v>
      </c>
      <c r="D34" t="s">
        <v>16</v>
      </c>
      <c r="E34" t="s">
        <v>12</v>
      </c>
      <c r="F34" t="s">
        <v>13</v>
      </c>
      <c r="G34">
        <v>2</v>
      </c>
      <c r="H34">
        <v>2400</v>
      </c>
      <c r="I34">
        <v>4800</v>
      </c>
    </row>
    <row r="35" spans="1:9" x14ac:dyDescent="0.35">
      <c r="A35" t="s">
        <v>73</v>
      </c>
      <c r="B35" s="1">
        <v>46170</v>
      </c>
      <c r="C35" t="s">
        <v>51</v>
      </c>
      <c r="D35" t="s">
        <v>74</v>
      </c>
      <c r="E35" t="s">
        <v>61</v>
      </c>
      <c r="F35" t="s">
        <v>13</v>
      </c>
      <c r="G35">
        <v>2</v>
      </c>
      <c r="H35">
        <v>8900</v>
      </c>
      <c r="I35">
        <v>17800</v>
      </c>
    </row>
    <row r="36" spans="1:9" x14ac:dyDescent="0.35">
      <c r="A36" t="s">
        <v>75</v>
      </c>
      <c r="B36" s="1">
        <v>46024</v>
      </c>
      <c r="C36" t="s">
        <v>24</v>
      </c>
      <c r="D36" t="s">
        <v>11</v>
      </c>
      <c r="E36" t="s">
        <v>63</v>
      </c>
      <c r="F36" t="s">
        <v>55</v>
      </c>
      <c r="G36">
        <v>3</v>
      </c>
      <c r="H36">
        <v>34200</v>
      </c>
      <c r="I36">
        <v>102600</v>
      </c>
    </row>
    <row r="37" spans="1:9" x14ac:dyDescent="0.35">
      <c r="A37" t="s">
        <v>76</v>
      </c>
      <c r="B37" s="1">
        <v>46193</v>
      </c>
      <c r="C37" t="s">
        <v>39</v>
      </c>
      <c r="D37" t="s">
        <v>74</v>
      </c>
      <c r="E37" t="s">
        <v>12</v>
      </c>
      <c r="F37" t="s">
        <v>13</v>
      </c>
      <c r="G37">
        <v>6</v>
      </c>
      <c r="H37">
        <v>2400</v>
      </c>
      <c r="I37">
        <v>14400</v>
      </c>
    </row>
    <row r="38" spans="1:9" x14ac:dyDescent="0.35">
      <c r="A38" t="s">
        <v>77</v>
      </c>
      <c r="B38" s="1">
        <v>46057</v>
      </c>
      <c r="C38" t="s">
        <v>39</v>
      </c>
      <c r="D38" t="s">
        <v>49</v>
      </c>
      <c r="E38" t="s">
        <v>40</v>
      </c>
      <c r="F38" t="s">
        <v>13</v>
      </c>
      <c r="G38">
        <v>1</v>
      </c>
      <c r="H38">
        <v>5500</v>
      </c>
      <c r="I38">
        <v>5500</v>
      </c>
    </row>
    <row r="39" spans="1:9" x14ac:dyDescent="0.35">
      <c r="A39" t="s">
        <v>78</v>
      </c>
      <c r="B39" s="1">
        <v>46060</v>
      </c>
      <c r="C39" t="s">
        <v>15</v>
      </c>
      <c r="D39" t="s">
        <v>36</v>
      </c>
      <c r="E39" t="s">
        <v>12</v>
      </c>
      <c r="F39" t="s">
        <v>13</v>
      </c>
      <c r="G39">
        <v>4</v>
      </c>
      <c r="H39">
        <v>2400</v>
      </c>
      <c r="I39">
        <v>9600</v>
      </c>
    </row>
    <row r="40" spans="1:9" x14ac:dyDescent="0.35">
      <c r="A40" t="s">
        <v>79</v>
      </c>
      <c r="B40" s="1">
        <v>46110</v>
      </c>
      <c r="C40" t="s">
        <v>44</v>
      </c>
      <c r="D40" t="s">
        <v>36</v>
      </c>
      <c r="E40" t="s">
        <v>26</v>
      </c>
      <c r="F40" t="s">
        <v>18</v>
      </c>
      <c r="G40">
        <v>8</v>
      </c>
      <c r="H40">
        <v>74900</v>
      </c>
      <c r="I40">
        <v>599200</v>
      </c>
    </row>
    <row r="41" spans="1:9" x14ac:dyDescent="0.35">
      <c r="A41" t="s">
        <v>80</v>
      </c>
      <c r="B41" s="1">
        <v>46201</v>
      </c>
      <c r="C41" t="s">
        <v>20</v>
      </c>
      <c r="D41" t="s">
        <v>36</v>
      </c>
      <c r="E41" t="s">
        <v>32</v>
      </c>
      <c r="F41" t="s">
        <v>13</v>
      </c>
      <c r="G41">
        <v>5</v>
      </c>
      <c r="H41">
        <v>4400</v>
      </c>
      <c r="I41">
        <v>22000</v>
      </c>
    </row>
    <row r="42" spans="1:9" x14ac:dyDescent="0.35">
      <c r="A42" t="s">
        <v>81</v>
      </c>
      <c r="B42" s="1">
        <v>46090</v>
      </c>
      <c r="C42" t="s">
        <v>34</v>
      </c>
      <c r="D42" t="s">
        <v>16</v>
      </c>
      <c r="E42" t="s">
        <v>21</v>
      </c>
      <c r="F42" t="s">
        <v>22</v>
      </c>
      <c r="G42">
        <v>4</v>
      </c>
      <c r="H42">
        <v>27600</v>
      </c>
      <c r="I42">
        <v>110400</v>
      </c>
    </row>
    <row r="43" spans="1:9" x14ac:dyDescent="0.35">
      <c r="A43" t="s">
        <v>82</v>
      </c>
      <c r="B43" s="1">
        <v>46140</v>
      </c>
      <c r="C43" t="s">
        <v>31</v>
      </c>
      <c r="D43" t="s">
        <v>36</v>
      </c>
      <c r="E43" t="s">
        <v>26</v>
      </c>
      <c r="F43" t="s">
        <v>18</v>
      </c>
      <c r="G43">
        <v>1</v>
      </c>
      <c r="H43">
        <v>74800</v>
      </c>
      <c r="I43">
        <v>74800</v>
      </c>
    </row>
    <row r="44" spans="1:9" x14ac:dyDescent="0.35">
      <c r="A44" t="s">
        <v>83</v>
      </c>
      <c r="B44" s="1">
        <v>46030</v>
      </c>
      <c r="C44" t="s">
        <v>20</v>
      </c>
      <c r="D44" t="s">
        <v>11</v>
      </c>
      <c r="E44" t="s">
        <v>12</v>
      </c>
      <c r="F44" t="s">
        <v>13</v>
      </c>
      <c r="G44">
        <v>7</v>
      </c>
      <c r="H44">
        <v>2600</v>
      </c>
      <c r="I44">
        <v>18200</v>
      </c>
    </row>
    <row r="45" spans="1:9" x14ac:dyDescent="0.35">
      <c r="A45" t="s">
        <v>84</v>
      </c>
      <c r="B45" s="1">
        <v>46172</v>
      </c>
      <c r="C45" t="s">
        <v>65</v>
      </c>
      <c r="D45" t="s">
        <v>25</v>
      </c>
      <c r="E45" t="s">
        <v>32</v>
      </c>
      <c r="F45" t="s">
        <v>13</v>
      </c>
      <c r="G45">
        <v>5</v>
      </c>
      <c r="H45">
        <v>4300</v>
      </c>
      <c r="I45">
        <v>21500</v>
      </c>
    </row>
    <row r="46" spans="1:9" x14ac:dyDescent="0.35">
      <c r="A46" t="s">
        <v>85</v>
      </c>
      <c r="B46" s="1">
        <v>46077</v>
      </c>
      <c r="C46" t="s">
        <v>15</v>
      </c>
      <c r="D46" t="s">
        <v>49</v>
      </c>
      <c r="E46" t="s">
        <v>40</v>
      </c>
      <c r="F46" t="s">
        <v>13</v>
      </c>
      <c r="G46">
        <v>5</v>
      </c>
      <c r="H46">
        <v>6900</v>
      </c>
      <c r="I46">
        <v>34500</v>
      </c>
    </row>
    <row r="47" spans="1:9" x14ac:dyDescent="0.35">
      <c r="A47" t="s">
        <v>86</v>
      </c>
      <c r="B47" s="1">
        <v>46162</v>
      </c>
      <c r="C47" t="s">
        <v>39</v>
      </c>
      <c r="D47" t="s">
        <v>11</v>
      </c>
      <c r="E47" t="s">
        <v>21</v>
      </c>
      <c r="F47" t="s">
        <v>22</v>
      </c>
      <c r="G47">
        <v>3</v>
      </c>
      <c r="H47">
        <v>24200</v>
      </c>
      <c r="I47">
        <v>72600</v>
      </c>
    </row>
    <row r="48" spans="1:9" x14ac:dyDescent="0.35">
      <c r="A48" t="s">
        <v>87</v>
      </c>
      <c r="B48" s="1">
        <v>46098</v>
      </c>
      <c r="C48" t="s">
        <v>15</v>
      </c>
      <c r="D48" t="s">
        <v>11</v>
      </c>
      <c r="E48" t="s">
        <v>32</v>
      </c>
      <c r="F48" t="s">
        <v>13</v>
      </c>
      <c r="G48">
        <v>1</v>
      </c>
      <c r="H48">
        <v>4800</v>
      </c>
      <c r="I48">
        <v>4800</v>
      </c>
    </row>
    <row r="49" spans="1:9" x14ac:dyDescent="0.35">
      <c r="A49" t="s">
        <v>88</v>
      </c>
      <c r="B49" s="1">
        <v>46109</v>
      </c>
      <c r="C49" t="s">
        <v>34</v>
      </c>
      <c r="D49" t="s">
        <v>36</v>
      </c>
      <c r="E49" t="s">
        <v>61</v>
      </c>
      <c r="F49" t="s">
        <v>13</v>
      </c>
      <c r="G49">
        <v>2</v>
      </c>
      <c r="H49">
        <v>8400</v>
      </c>
      <c r="I49">
        <v>16800</v>
      </c>
    </row>
    <row r="50" spans="1:9" x14ac:dyDescent="0.35">
      <c r="A50" t="s">
        <v>89</v>
      </c>
      <c r="B50" s="1">
        <v>46082</v>
      </c>
      <c r="C50" t="s">
        <v>24</v>
      </c>
      <c r="D50" t="s">
        <v>16</v>
      </c>
      <c r="E50" t="s">
        <v>40</v>
      </c>
      <c r="F50" t="s">
        <v>13</v>
      </c>
      <c r="G50">
        <v>2</v>
      </c>
      <c r="H50">
        <v>5600</v>
      </c>
      <c r="I50">
        <v>11200</v>
      </c>
    </row>
    <row r="51" spans="1:9" x14ac:dyDescent="0.35">
      <c r="A51" t="s">
        <v>90</v>
      </c>
      <c r="B51" s="1">
        <v>46199</v>
      </c>
      <c r="C51" t="s">
        <v>46</v>
      </c>
      <c r="D51" t="s">
        <v>36</v>
      </c>
      <c r="E51" t="s">
        <v>63</v>
      </c>
      <c r="F51" t="s">
        <v>55</v>
      </c>
      <c r="G51">
        <v>1</v>
      </c>
      <c r="H51">
        <v>29100</v>
      </c>
      <c r="I51">
        <v>29100</v>
      </c>
    </row>
    <row r="52" spans="1:9" x14ac:dyDescent="0.35">
      <c r="A52" t="s">
        <v>91</v>
      </c>
      <c r="B52" s="1">
        <v>46128</v>
      </c>
      <c r="C52" t="s">
        <v>31</v>
      </c>
      <c r="D52" t="s">
        <v>49</v>
      </c>
      <c r="E52" t="s">
        <v>17</v>
      </c>
      <c r="F52" t="s">
        <v>18</v>
      </c>
      <c r="G52">
        <v>3</v>
      </c>
      <c r="H52">
        <v>39900</v>
      </c>
      <c r="I52">
        <v>119700</v>
      </c>
    </row>
    <row r="53" spans="1:9" x14ac:dyDescent="0.35">
      <c r="A53" t="s">
        <v>92</v>
      </c>
      <c r="B53" s="1">
        <v>46165</v>
      </c>
      <c r="C53" t="s">
        <v>15</v>
      </c>
      <c r="D53" t="s">
        <v>36</v>
      </c>
      <c r="E53" t="s">
        <v>37</v>
      </c>
      <c r="F53" t="s">
        <v>18</v>
      </c>
      <c r="G53">
        <v>3</v>
      </c>
      <c r="H53">
        <v>60600</v>
      </c>
      <c r="I53">
        <v>181800</v>
      </c>
    </row>
    <row r="54" spans="1:9" x14ac:dyDescent="0.35">
      <c r="A54" t="s">
        <v>93</v>
      </c>
      <c r="B54" s="1">
        <v>46108</v>
      </c>
      <c r="C54" t="s">
        <v>46</v>
      </c>
      <c r="D54" t="s">
        <v>11</v>
      </c>
      <c r="E54" t="s">
        <v>37</v>
      </c>
      <c r="F54" t="s">
        <v>18</v>
      </c>
      <c r="G54">
        <v>5</v>
      </c>
      <c r="H54">
        <v>47500</v>
      </c>
      <c r="I54">
        <v>237500</v>
      </c>
    </row>
    <row r="55" spans="1:9" x14ac:dyDescent="0.35">
      <c r="A55" t="s">
        <v>94</v>
      </c>
      <c r="B55" s="1">
        <v>46079</v>
      </c>
      <c r="C55" t="s">
        <v>34</v>
      </c>
      <c r="D55" t="s">
        <v>74</v>
      </c>
      <c r="E55" t="s">
        <v>26</v>
      </c>
      <c r="F55" t="s">
        <v>18</v>
      </c>
      <c r="G55">
        <v>4</v>
      </c>
      <c r="H55">
        <v>81000</v>
      </c>
      <c r="I55">
        <v>324000</v>
      </c>
    </row>
    <row r="56" spans="1:9" x14ac:dyDescent="0.35">
      <c r="A56" t="s">
        <v>95</v>
      </c>
      <c r="B56" s="1">
        <v>46092</v>
      </c>
      <c r="C56" t="s">
        <v>24</v>
      </c>
      <c r="D56" t="s">
        <v>36</v>
      </c>
      <c r="E56" t="s">
        <v>26</v>
      </c>
      <c r="F56" t="s">
        <v>18</v>
      </c>
      <c r="G56">
        <v>6</v>
      </c>
      <c r="H56">
        <v>92800</v>
      </c>
      <c r="I56">
        <v>556800</v>
      </c>
    </row>
    <row r="57" spans="1:9" x14ac:dyDescent="0.35">
      <c r="A57" t="s">
        <v>96</v>
      </c>
      <c r="B57" s="1">
        <v>46172</v>
      </c>
      <c r="C57" t="s">
        <v>15</v>
      </c>
      <c r="D57" t="s">
        <v>11</v>
      </c>
      <c r="E57" t="s">
        <v>17</v>
      </c>
      <c r="F57" t="s">
        <v>18</v>
      </c>
      <c r="G57">
        <v>6</v>
      </c>
      <c r="H57">
        <v>35700</v>
      </c>
      <c r="I57">
        <v>214200</v>
      </c>
    </row>
    <row r="58" spans="1:9" x14ac:dyDescent="0.35">
      <c r="A58" t="s">
        <v>97</v>
      </c>
      <c r="B58" s="1">
        <v>46140</v>
      </c>
      <c r="C58" t="s">
        <v>34</v>
      </c>
      <c r="D58" t="s">
        <v>49</v>
      </c>
      <c r="E58" t="s">
        <v>17</v>
      </c>
      <c r="F58" t="s">
        <v>18</v>
      </c>
      <c r="G58">
        <v>6</v>
      </c>
      <c r="H58">
        <v>31500</v>
      </c>
      <c r="I58">
        <v>189000</v>
      </c>
    </row>
    <row r="59" spans="1:9" x14ac:dyDescent="0.35">
      <c r="A59" t="s">
        <v>98</v>
      </c>
      <c r="B59" s="1">
        <v>46203</v>
      </c>
      <c r="C59" t="s">
        <v>10</v>
      </c>
      <c r="D59" t="s">
        <v>74</v>
      </c>
      <c r="E59" t="s">
        <v>32</v>
      </c>
      <c r="F59" t="s">
        <v>13</v>
      </c>
      <c r="G59">
        <v>8</v>
      </c>
      <c r="H59">
        <v>5000</v>
      </c>
      <c r="I59">
        <v>40000</v>
      </c>
    </row>
    <row r="60" spans="1:9" x14ac:dyDescent="0.35">
      <c r="A60" t="s">
        <v>99</v>
      </c>
      <c r="B60" s="1">
        <v>46099</v>
      </c>
      <c r="C60" t="s">
        <v>34</v>
      </c>
      <c r="D60" t="s">
        <v>74</v>
      </c>
      <c r="E60" t="s">
        <v>54</v>
      </c>
      <c r="F60" t="s">
        <v>55</v>
      </c>
      <c r="G60">
        <v>2</v>
      </c>
      <c r="H60">
        <v>24400</v>
      </c>
      <c r="I60">
        <v>48800</v>
      </c>
    </row>
    <row r="61" spans="1:9" x14ac:dyDescent="0.35">
      <c r="A61" t="s">
        <v>100</v>
      </c>
      <c r="B61" s="1">
        <v>46138</v>
      </c>
      <c r="C61" t="s">
        <v>29</v>
      </c>
      <c r="D61" t="s">
        <v>25</v>
      </c>
      <c r="E61" t="s">
        <v>21</v>
      </c>
      <c r="F61" t="s">
        <v>22</v>
      </c>
      <c r="G61">
        <v>8</v>
      </c>
      <c r="H61">
        <v>31400</v>
      </c>
      <c r="I61">
        <v>251200</v>
      </c>
    </row>
    <row r="62" spans="1:9" x14ac:dyDescent="0.35">
      <c r="A62" t="s">
        <v>101</v>
      </c>
      <c r="B62" s="1">
        <v>46067</v>
      </c>
      <c r="C62" t="s">
        <v>20</v>
      </c>
      <c r="D62" t="s">
        <v>11</v>
      </c>
      <c r="E62" t="s">
        <v>17</v>
      </c>
      <c r="F62" t="s">
        <v>18</v>
      </c>
      <c r="G62">
        <v>6</v>
      </c>
      <c r="H62">
        <v>38100</v>
      </c>
      <c r="I62">
        <v>228600</v>
      </c>
    </row>
    <row r="63" spans="1:9" x14ac:dyDescent="0.35">
      <c r="A63" t="s">
        <v>102</v>
      </c>
      <c r="B63" s="1">
        <v>46190</v>
      </c>
      <c r="C63" t="s">
        <v>34</v>
      </c>
      <c r="D63" t="s">
        <v>49</v>
      </c>
      <c r="E63" t="s">
        <v>37</v>
      </c>
      <c r="F63" t="s">
        <v>18</v>
      </c>
      <c r="G63">
        <v>4</v>
      </c>
      <c r="H63">
        <v>55000</v>
      </c>
      <c r="I63">
        <v>220000</v>
      </c>
    </row>
    <row r="64" spans="1:9" x14ac:dyDescent="0.35">
      <c r="A64" t="s">
        <v>103</v>
      </c>
      <c r="B64" s="1">
        <v>46194</v>
      </c>
      <c r="C64" t="s">
        <v>10</v>
      </c>
      <c r="D64" t="s">
        <v>11</v>
      </c>
      <c r="E64" t="s">
        <v>32</v>
      </c>
      <c r="F64" t="s">
        <v>13</v>
      </c>
      <c r="G64">
        <v>6</v>
      </c>
      <c r="H64">
        <v>4300</v>
      </c>
      <c r="I64">
        <v>25800</v>
      </c>
    </row>
    <row r="65" spans="1:9" x14ac:dyDescent="0.35">
      <c r="A65" t="s">
        <v>104</v>
      </c>
      <c r="B65" s="1">
        <v>46154</v>
      </c>
      <c r="C65" t="s">
        <v>46</v>
      </c>
      <c r="D65" t="s">
        <v>36</v>
      </c>
      <c r="E65" t="s">
        <v>61</v>
      </c>
      <c r="F65" t="s">
        <v>13</v>
      </c>
      <c r="G65">
        <v>6</v>
      </c>
      <c r="H65">
        <v>8800</v>
      </c>
      <c r="I65">
        <v>52800</v>
      </c>
    </row>
    <row r="66" spans="1:9" x14ac:dyDescent="0.35">
      <c r="A66" t="s">
        <v>105</v>
      </c>
      <c r="B66" s="1">
        <v>46063</v>
      </c>
      <c r="C66" t="s">
        <v>39</v>
      </c>
      <c r="D66" t="s">
        <v>74</v>
      </c>
      <c r="E66" t="s">
        <v>40</v>
      </c>
      <c r="F66" t="s">
        <v>13</v>
      </c>
      <c r="G66">
        <v>4</v>
      </c>
      <c r="H66">
        <v>5800</v>
      </c>
      <c r="I66">
        <v>23200</v>
      </c>
    </row>
    <row r="67" spans="1:9" x14ac:dyDescent="0.35">
      <c r="A67" t="s">
        <v>106</v>
      </c>
      <c r="B67" s="1">
        <v>46155</v>
      </c>
      <c r="C67" t="s">
        <v>24</v>
      </c>
      <c r="D67" t="s">
        <v>74</v>
      </c>
      <c r="E67" t="s">
        <v>17</v>
      </c>
      <c r="F67" t="s">
        <v>18</v>
      </c>
      <c r="G67">
        <v>5</v>
      </c>
      <c r="H67">
        <v>32100</v>
      </c>
      <c r="I67">
        <v>160500</v>
      </c>
    </row>
    <row r="68" spans="1:9" x14ac:dyDescent="0.35">
      <c r="A68" t="s">
        <v>107</v>
      </c>
      <c r="B68" s="1">
        <v>46033</v>
      </c>
      <c r="C68" t="s">
        <v>65</v>
      </c>
      <c r="D68" t="s">
        <v>25</v>
      </c>
      <c r="E68" t="s">
        <v>63</v>
      </c>
      <c r="F68" t="s">
        <v>55</v>
      </c>
      <c r="G68">
        <v>2</v>
      </c>
      <c r="H68">
        <v>33600</v>
      </c>
      <c r="I68">
        <v>67200</v>
      </c>
    </row>
    <row r="69" spans="1:9" x14ac:dyDescent="0.35">
      <c r="A69" t="s">
        <v>108</v>
      </c>
      <c r="B69" s="1">
        <v>46032</v>
      </c>
      <c r="C69" t="s">
        <v>10</v>
      </c>
      <c r="D69" t="s">
        <v>16</v>
      </c>
      <c r="E69" t="s">
        <v>37</v>
      </c>
      <c r="F69" t="s">
        <v>18</v>
      </c>
      <c r="G69">
        <v>2</v>
      </c>
      <c r="H69">
        <v>49100</v>
      </c>
      <c r="I69">
        <v>98200</v>
      </c>
    </row>
    <row r="70" spans="1:9" x14ac:dyDescent="0.35">
      <c r="A70" t="s">
        <v>109</v>
      </c>
      <c r="B70" s="1">
        <v>46170</v>
      </c>
      <c r="C70" t="s">
        <v>51</v>
      </c>
      <c r="D70" t="s">
        <v>16</v>
      </c>
      <c r="E70" t="s">
        <v>37</v>
      </c>
      <c r="F70" t="s">
        <v>18</v>
      </c>
      <c r="G70">
        <v>7</v>
      </c>
      <c r="H70">
        <v>56600</v>
      </c>
      <c r="I70">
        <v>396200</v>
      </c>
    </row>
    <row r="71" spans="1:9" x14ac:dyDescent="0.35">
      <c r="A71" t="s">
        <v>110</v>
      </c>
      <c r="B71" s="1">
        <v>46182</v>
      </c>
      <c r="C71" t="s">
        <v>20</v>
      </c>
      <c r="D71" t="s">
        <v>25</v>
      </c>
      <c r="E71" t="s">
        <v>61</v>
      </c>
      <c r="F71" t="s">
        <v>13</v>
      </c>
      <c r="G71">
        <v>8</v>
      </c>
      <c r="H71">
        <v>7500</v>
      </c>
      <c r="I71">
        <v>60000</v>
      </c>
    </row>
    <row r="72" spans="1:9" x14ac:dyDescent="0.35">
      <c r="A72" t="s">
        <v>111</v>
      </c>
      <c r="B72" s="1">
        <v>46182</v>
      </c>
      <c r="C72" t="s">
        <v>46</v>
      </c>
      <c r="D72" t="s">
        <v>25</v>
      </c>
      <c r="E72" t="s">
        <v>12</v>
      </c>
      <c r="F72" t="s">
        <v>13</v>
      </c>
      <c r="G72">
        <v>4</v>
      </c>
      <c r="H72">
        <v>2800</v>
      </c>
      <c r="I72">
        <v>11200</v>
      </c>
    </row>
    <row r="73" spans="1:9" x14ac:dyDescent="0.35">
      <c r="A73" t="s">
        <v>112</v>
      </c>
      <c r="B73" s="1">
        <v>46175</v>
      </c>
      <c r="C73" t="s">
        <v>24</v>
      </c>
      <c r="D73" t="s">
        <v>49</v>
      </c>
      <c r="E73" t="s">
        <v>40</v>
      </c>
      <c r="F73" t="s">
        <v>13</v>
      </c>
      <c r="G73">
        <v>6</v>
      </c>
      <c r="H73">
        <v>6300</v>
      </c>
      <c r="I73">
        <v>37800</v>
      </c>
    </row>
    <row r="74" spans="1:9" x14ac:dyDescent="0.35">
      <c r="A74" t="s">
        <v>113</v>
      </c>
      <c r="B74" s="1">
        <v>46173</v>
      </c>
      <c r="C74" t="s">
        <v>44</v>
      </c>
      <c r="D74" t="s">
        <v>11</v>
      </c>
      <c r="E74" t="s">
        <v>26</v>
      </c>
      <c r="F74" t="s">
        <v>18</v>
      </c>
      <c r="G74">
        <v>2</v>
      </c>
      <c r="I74">
        <v>154000</v>
      </c>
    </row>
    <row r="75" spans="1:9" x14ac:dyDescent="0.35">
      <c r="A75" t="s">
        <v>114</v>
      </c>
      <c r="B75" s="1">
        <v>46183</v>
      </c>
      <c r="C75" t="s">
        <v>44</v>
      </c>
      <c r="D75" t="s">
        <v>16</v>
      </c>
      <c r="E75" t="s">
        <v>21</v>
      </c>
      <c r="F75" t="s">
        <v>22</v>
      </c>
      <c r="G75">
        <v>7</v>
      </c>
      <c r="H75">
        <v>31800</v>
      </c>
      <c r="I75">
        <v>222600</v>
      </c>
    </row>
    <row r="76" spans="1:9" x14ac:dyDescent="0.35">
      <c r="A76" t="s">
        <v>115</v>
      </c>
      <c r="B76" s="1">
        <v>46146</v>
      </c>
      <c r="C76" t="s">
        <v>24</v>
      </c>
      <c r="D76" t="s">
        <v>25</v>
      </c>
      <c r="E76" t="s">
        <v>54</v>
      </c>
      <c r="F76" t="s">
        <v>55</v>
      </c>
      <c r="G76">
        <v>5</v>
      </c>
      <c r="H76">
        <v>24700</v>
      </c>
      <c r="I76">
        <v>123500</v>
      </c>
    </row>
    <row r="77" spans="1:9" x14ac:dyDescent="0.35">
      <c r="A77" t="s">
        <v>116</v>
      </c>
      <c r="B77" s="1">
        <v>46184</v>
      </c>
      <c r="C77" t="s">
        <v>10</v>
      </c>
      <c r="D77" t="s">
        <v>11</v>
      </c>
      <c r="E77" t="s">
        <v>37</v>
      </c>
      <c r="F77" t="s">
        <v>18</v>
      </c>
      <c r="G77">
        <v>8</v>
      </c>
      <c r="H77">
        <v>49100</v>
      </c>
      <c r="I77">
        <v>392800</v>
      </c>
    </row>
    <row r="78" spans="1:9" x14ac:dyDescent="0.35">
      <c r="A78" t="s">
        <v>117</v>
      </c>
      <c r="B78" s="1">
        <v>46114</v>
      </c>
      <c r="C78" t="s">
        <v>24</v>
      </c>
      <c r="D78" t="s">
        <v>16</v>
      </c>
      <c r="E78" t="s">
        <v>40</v>
      </c>
      <c r="F78" t="s">
        <v>13</v>
      </c>
      <c r="G78">
        <v>8</v>
      </c>
      <c r="H78">
        <v>6500</v>
      </c>
      <c r="I78">
        <v>52000</v>
      </c>
    </row>
    <row r="79" spans="1:9" x14ac:dyDescent="0.35">
      <c r="A79" t="s">
        <v>118</v>
      </c>
      <c r="B79" s="1">
        <v>46116</v>
      </c>
      <c r="C79" t="s">
        <v>15</v>
      </c>
      <c r="D79" t="s">
        <v>25</v>
      </c>
      <c r="E79" t="s">
        <v>32</v>
      </c>
      <c r="F79" t="s">
        <v>13</v>
      </c>
      <c r="G79">
        <v>1</v>
      </c>
      <c r="H79">
        <v>4700</v>
      </c>
      <c r="I79">
        <v>4700</v>
      </c>
    </row>
    <row r="80" spans="1:9" x14ac:dyDescent="0.35">
      <c r="A80" t="s">
        <v>119</v>
      </c>
      <c r="B80" s="1">
        <v>46069</v>
      </c>
      <c r="C80" t="s">
        <v>10</v>
      </c>
      <c r="D80" t="s">
        <v>16</v>
      </c>
      <c r="E80" t="s">
        <v>12</v>
      </c>
      <c r="F80" t="s">
        <v>13</v>
      </c>
      <c r="G80">
        <v>8</v>
      </c>
      <c r="H80">
        <v>2200</v>
      </c>
      <c r="I80">
        <v>17600</v>
      </c>
    </row>
    <row r="81" spans="1:9" x14ac:dyDescent="0.35">
      <c r="A81" t="s">
        <v>120</v>
      </c>
      <c r="B81" s="1">
        <v>46052</v>
      </c>
      <c r="C81" t="s">
        <v>29</v>
      </c>
      <c r="D81" t="s">
        <v>36</v>
      </c>
      <c r="E81" t="s">
        <v>21</v>
      </c>
      <c r="F81" t="s">
        <v>22</v>
      </c>
      <c r="G81">
        <v>6</v>
      </c>
      <c r="H81">
        <v>27400</v>
      </c>
      <c r="I81">
        <v>164400</v>
      </c>
    </row>
    <row r="82" spans="1:9" x14ac:dyDescent="0.35">
      <c r="A82" t="s">
        <v>121</v>
      </c>
      <c r="B82" s="1">
        <v>46138</v>
      </c>
      <c r="C82" t="s">
        <v>20</v>
      </c>
      <c r="D82" t="s">
        <v>16</v>
      </c>
      <c r="E82" t="s">
        <v>37</v>
      </c>
      <c r="F82" t="s">
        <v>18</v>
      </c>
      <c r="G82">
        <v>5</v>
      </c>
      <c r="H82">
        <v>52700</v>
      </c>
      <c r="I82">
        <v>263500</v>
      </c>
    </row>
    <row r="83" spans="1:9" x14ac:dyDescent="0.35">
      <c r="A83" t="s">
        <v>122</v>
      </c>
      <c r="B83" s="1">
        <v>46180</v>
      </c>
      <c r="C83" t="s">
        <v>44</v>
      </c>
      <c r="D83" t="s">
        <v>49</v>
      </c>
      <c r="E83" t="s">
        <v>63</v>
      </c>
      <c r="F83" t="s">
        <v>55</v>
      </c>
      <c r="G83">
        <v>6</v>
      </c>
      <c r="H83">
        <v>27000</v>
      </c>
      <c r="I83">
        <v>162000</v>
      </c>
    </row>
    <row r="84" spans="1:9" x14ac:dyDescent="0.35">
      <c r="A84" t="s">
        <v>123</v>
      </c>
      <c r="B84" s="1">
        <v>46128</v>
      </c>
      <c r="C84" t="s">
        <v>34</v>
      </c>
      <c r="D84" t="s">
        <v>11</v>
      </c>
      <c r="E84" t="s">
        <v>32</v>
      </c>
      <c r="F84" t="s">
        <v>13</v>
      </c>
      <c r="G84">
        <v>6</v>
      </c>
      <c r="H84">
        <v>4900</v>
      </c>
      <c r="I84">
        <v>29400</v>
      </c>
    </row>
    <row r="85" spans="1:9" x14ac:dyDescent="0.35">
      <c r="A85" t="s">
        <v>124</v>
      </c>
      <c r="B85" s="1">
        <v>46118</v>
      </c>
      <c r="C85" t="s">
        <v>24</v>
      </c>
      <c r="D85" t="s">
        <v>36</v>
      </c>
      <c r="E85" t="s">
        <v>40</v>
      </c>
      <c r="F85" t="s">
        <v>13</v>
      </c>
      <c r="G85">
        <v>1</v>
      </c>
      <c r="H85">
        <v>6800</v>
      </c>
      <c r="I85">
        <v>6800</v>
      </c>
    </row>
    <row r="86" spans="1:9" x14ac:dyDescent="0.35">
      <c r="A86" t="s">
        <v>125</v>
      </c>
      <c r="B86" s="1">
        <v>46202</v>
      </c>
      <c r="C86" t="s">
        <v>29</v>
      </c>
      <c r="D86" t="s">
        <v>16</v>
      </c>
      <c r="E86" t="s">
        <v>12</v>
      </c>
      <c r="F86" t="s">
        <v>13</v>
      </c>
      <c r="G86">
        <v>5</v>
      </c>
      <c r="H86">
        <v>2200</v>
      </c>
      <c r="I86">
        <v>11000</v>
      </c>
    </row>
    <row r="87" spans="1:9" x14ac:dyDescent="0.35">
      <c r="A87" t="s">
        <v>126</v>
      </c>
      <c r="B87" s="1">
        <v>46159</v>
      </c>
      <c r="C87" t="s">
        <v>31</v>
      </c>
      <c r="D87" t="s">
        <v>25</v>
      </c>
      <c r="E87" t="s">
        <v>21</v>
      </c>
      <c r="F87" t="s">
        <v>22</v>
      </c>
      <c r="G87">
        <v>1</v>
      </c>
      <c r="H87">
        <v>25100</v>
      </c>
      <c r="I87">
        <v>25100</v>
      </c>
    </row>
    <row r="88" spans="1:9" x14ac:dyDescent="0.35">
      <c r="A88" t="s">
        <v>127</v>
      </c>
      <c r="B88" s="1">
        <v>46129</v>
      </c>
      <c r="C88" t="s">
        <v>31</v>
      </c>
      <c r="D88" t="s">
        <v>11</v>
      </c>
      <c r="E88" t="s">
        <v>12</v>
      </c>
      <c r="F88" t="s">
        <v>13</v>
      </c>
      <c r="G88">
        <v>6</v>
      </c>
      <c r="H88">
        <v>2200</v>
      </c>
      <c r="I88">
        <v>13200</v>
      </c>
    </row>
    <row r="89" spans="1:9" x14ac:dyDescent="0.35">
      <c r="A89" t="s">
        <v>128</v>
      </c>
      <c r="B89" s="1">
        <v>46172</v>
      </c>
      <c r="C89" t="s">
        <v>46</v>
      </c>
      <c r="D89" t="s">
        <v>74</v>
      </c>
      <c r="E89" t="s">
        <v>12</v>
      </c>
      <c r="F89" t="s">
        <v>13</v>
      </c>
      <c r="G89">
        <v>7</v>
      </c>
      <c r="H89">
        <v>2600</v>
      </c>
      <c r="I89">
        <v>18200</v>
      </c>
    </row>
    <row r="90" spans="1:9" x14ac:dyDescent="0.35">
      <c r="A90" t="s">
        <v>129</v>
      </c>
      <c r="B90" s="1">
        <v>46140</v>
      </c>
      <c r="C90" t="s">
        <v>31</v>
      </c>
      <c r="D90" t="s">
        <v>49</v>
      </c>
      <c r="E90" t="s">
        <v>32</v>
      </c>
      <c r="F90" t="s">
        <v>13</v>
      </c>
      <c r="G90">
        <v>2</v>
      </c>
      <c r="H90">
        <v>4800</v>
      </c>
      <c r="I90">
        <v>9600</v>
      </c>
    </row>
    <row r="91" spans="1:9" x14ac:dyDescent="0.35">
      <c r="A91" t="s">
        <v>130</v>
      </c>
      <c r="B91" s="1">
        <v>46090</v>
      </c>
      <c r="C91" t="s">
        <v>65</v>
      </c>
      <c r="D91" t="s">
        <v>25</v>
      </c>
      <c r="E91" t="s">
        <v>17</v>
      </c>
      <c r="F91" t="s">
        <v>18</v>
      </c>
      <c r="G91">
        <v>6</v>
      </c>
      <c r="H91">
        <v>34400</v>
      </c>
      <c r="I91">
        <v>206400</v>
      </c>
    </row>
    <row r="92" spans="1:9" x14ac:dyDescent="0.35">
      <c r="A92" t="s">
        <v>131</v>
      </c>
      <c r="B92" s="1">
        <v>46069</v>
      </c>
      <c r="C92" t="s">
        <v>31</v>
      </c>
      <c r="D92" t="s">
        <v>49</v>
      </c>
      <c r="E92" t="s">
        <v>54</v>
      </c>
      <c r="F92" t="s">
        <v>55</v>
      </c>
      <c r="G92">
        <v>6</v>
      </c>
      <c r="H92">
        <v>21300</v>
      </c>
      <c r="I92">
        <v>127800</v>
      </c>
    </row>
    <row r="93" spans="1:9" x14ac:dyDescent="0.35">
      <c r="A93" t="s">
        <v>132</v>
      </c>
      <c r="B93" s="1">
        <v>46192</v>
      </c>
      <c r="C93" t="s">
        <v>10</v>
      </c>
      <c r="D93" t="s">
        <v>36</v>
      </c>
      <c r="E93" t="s">
        <v>63</v>
      </c>
      <c r="F93" t="s">
        <v>55</v>
      </c>
      <c r="G93">
        <v>1</v>
      </c>
      <c r="H93">
        <v>33400</v>
      </c>
      <c r="I93">
        <v>33400</v>
      </c>
    </row>
    <row r="94" spans="1:9" x14ac:dyDescent="0.35">
      <c r="A94" t="s">
        <v>133</v>
      </c>
      <c r="B94" s="1">
        <v>46151</v>
      </c>
      <c r="C94" t="s">
        <v>24</v>
      </c>
      <c r="D94" t="s">
        <v>36</v>
      </c>
      <c r="E94" t="s">
        <v>12</v>
      </c>
      <c r="F94" t="s">
        <v>13</v>
      </c>
      <c r="G94">
        <v>5</v>
      </c>
      <c r="H94">
        <v>2200</v>
      </c>
      <c r="I94">
        <v>11000</v>
      </c>
    </row>
    <row r="95" spans="1:9" x14ac:dyDescent="0.35">
      <c r="A95" t="s">
        <v>134</v>
      </c>
      <c r="B95" s="1">
        <v>46084</v>
      </c>
      <c r="C95" t="s">
        <v>24</v>
      </c>
      <c r="D95" t="s">
        <v>49</v>
      </c>
      <c r="E95" t="s">
        <v>12</v>
      </c>
      <c r="F95" t="s">
        <v>13</v>
      </c>
      <c r="G95">
        <v>4</v>
      </c>
      <c r="H95">
        <v>2400</v>
      </c>
      <c r="I95">
        <v>9600</v>
      </c>
    </row>
    <row r="96" spans="1:9" x14ac:dyDescent="0.35">
      <c r="A96" t="s">
        <v>135</v>
      </c>
      <c r="B96" s="1">
        <v>46088</v>
      </c>
      <c r="C96" t="s">
        <v>31</v>
      </c>
      <c r="D96" t="s">
        <v>49</v>
      </c>
      <c r="E96" t="s">
        <v>32</v>
      </c>
      <c r="F96" t="s">
        <v>13</v>
      </c>
      <c r="G96">
        <v>3</v>
      </c>
      <c r="H96">
        <v>4600</v>
      </c>
      <c r="I96">
        <v>13800</v>
      </c>
    </row>
    <row r="97" spans="1:9" x14ac:dyDescent="0.35">
      <c r="A97" t="s">
        <v>136</v>
      </c>
      <c r="B97" s="1">
        <v>46094</v>
      </c>
      <c r="C97" t="s">
        <v>65</v>
      </c>
      <c r="D97" t="s">
        <v>36</v>
      </c>
      <c r="E97" t="s">
        <v>21</v>
      </c>
      <c r="F97" t="s">
        <v>22</v>
      </c>
      <c r="G97">
        <v>7</v>
      </c>
      <c r="H97">
        <v>26400</v>
      </c>
      <c r="I97">
        <v>184800</v>
      </c>
    </row>
    <row r="98" spans="1:9" x14ac:dyDescent="0.35">
      <c r="A98" t="s">
        <v>137</v>
      </c>
      <c r="B98" s="1">
        <v>46100</v>
      </c>
      <c r="C98" t="s">
        <v>65</v>
      </c>
      <c r="D98" t="s">
        <v>16</v>
      </c>
      <c r="E98" t="s">
        <v>37</v>
      </c>
      <c r="F98" t="s">
        <v>18</v>
      </c>
      <c r="G98">
        <v>5</v>
      </c>
      <c r="H98">
        <v>54300</v>
      </c>
      <c r="I98">
        <v>271500</v>
      </c>
    </row>
    <row r="99" spans="1:9" x14ac:dyDescent="0.35">
      <c r="A99" t="s">
        <v>138</v>
      </c>
      <c r="B99" s="1">
        <v>46100</v>
      </c>
      <c r="C99" t="s">
        <v>20</v>
      </c>
      <c r="D99" t="s">
        <v>25</v>
      </c>
      <c r="E99" t="s">
        <v>54</v>
      </c>
      <c r="F99" t="s">
        <v>55</v>
      </c>
      <c r="G99">
        <v>5</v>
      </c>
      <c r="H99">
        <v>22900</v>
      </c>
      <c r="I99">
        <v>114500</v>
      </c>
    </row>
    <row r="100" spans="1:9" x14ac:dyDescent="0.35">
      <c r="A100" t="s">
        <v>139</v>
      </c>
      <c r="B100" s="1">
        <v>46079</v>
      </c>
      <c r="C100" t="s">
        <v>46</v>
      </c>
      <c r="D100" t="s">
        <v>11</v>
      </c>
      <c r="E100" t="s">
        <v>26</v>
      </c>
      <c r="F100" t="s">
        <v>18</v>
      </c>
      <c r="G100">
        <v>2</v>
      </c>
      <c r="H100">
        <v>92100</v>
      </c>
      <c r="I100">
        <v>184200</v>
      </c>
    </row>
    <row r="101" spans="1:9" x14ac:dyDescent="0.35">
      <c r="A101" t="s">
        <v>140</v>
      </c>
      <c r="B101" s="1">
        <v>46033</v>
      </c>
      <c r="C101" t="s">
        <v>39</v>
      </c>
      <c r="D101" t="s">
        <v>25</v>
      </c>
      <c r="E101" t="s">
        <v>26</v>
      </c>
      <c r="F101" t="s">
        <v>18</v>
      </c>
      <c r="G101">
        <v>5</v>
      </c>
      <c r="H101">
        <v>81500</v>
      </c>
      <c r="I101">
        <v>407500</v>
      </c>
    </row>
    <row r="102" spans="1:9" x14ac:dyDescent="0.35">
      <c r="A102" t="s">
        <v>141</v>
      </c>
      <c r="B102" s="1">
        <v>46132</v>
      </c>
      <c r="C102" t="s">
        <v>34</v>
      </c>
      <c r="D102" t="s">
        <v>74</v>
      </c>
      <c r="E102" t="s">
        <v>37</v>
      </c>
      <c r="F102" t="s">
        <v>18</v>
      </c>
      <c r="G102">
        <v>6</v>
      </c>
      <c r="H102">
        <v>48500</v>
      </c>
      <c r="I102">
        <v>291000</v>
      </c>
    </row>
    <row r="103" spans="1:9" x14ac:dyDescent="0.35">
      <c r="A103" t="s">
        <v>142</v>
      </c>
      <c r="B103" s="1">
        <v>46139</v>
      </c>
      <c r="C103" t="s">
        <v>31</v>
      </c>
      <c r="D103" t="s">
        <v>36</v>
      </c>
      <c r="E103" t="s">
        <v>12</v>
      </c>
      <c r="F103" t="s">
        <v>13</v>
      </c>
      <c r="G103">
        <v>6</v>
      </c>
      <c r="H103">
        <v>2400</v>
      </c>
      <c r="I103">
        <v>14400</v>
      </c>
    </row>
    <row r="104" spans="1:9" x14ac:dyDescent="0.35">
      <c r="A104" t="s">
        <v>143</v>
      </c>
      <c r="B104" s="1">
        <v>46030</v>
      </c>
      <c r="C104" t="s">
        <v>31</v>
      </c>
      <c r="D104" t="s">
        <v>16</v>
      </c>
      <c r="E104" t="s">
        <v>54</v>
      </c>
      <c r="F104" t="s">
        <v>55</v>
      </c>
      <c r="G104">
        <v>5</v>
      </c>
      <c r="H104">
        <v>21700</v>
      </c>
      <c r="I104">
        <v>108500</v>
      </c>
    </row>
    <row r="105" spans="1:9" x14ac:dyDescent="0.35">
      <c r="A105" t="s">
        <v>144</v>
      </c>
      <c r="B105" s="1">
        <v>46167</v>
      </c>
      <c r="C105" t="s">
        <v>46</v>
      </c>
      <c r="D105" t="s">
        <v>74</v>
      </c>
      <c r="E105" t="s">
        <v>26</v>
      </c>
      <c r="F105" t="s">
        <v>18</v>
      </c>
      <c r="G105">
        <v>6</v>
      </c>
      <c r="H105">
        <v>96400</v>
      </c>
      <c r="I105">
        <v>578400</v>
      </c>
    </row>
    <row r="106" spans="1:9" x14ac:dyDescent="0.35">
      <c r="A106" t="s">
        <v>145</v>
      </c>
      <c r="B106" s="1">
        <v>46033</v>
      </c>
      <c r="C106" t="s">
        <v>31</v>
      </c>
      <c r="D106" t="s">
        <v>16</v>
      </c>
      <c r="E106" t="s">
        <v>17</v>
      </c>
      <c r="F106" t="s">
        <v>18</v>
      </c>
      <c r="G106">
        <v>1</v>
      </c>
      <c r="H106">
        <v>32500</v>
      </c>
      <c r="I106">
        <v>32500</v>
      </c>
    </row>
    <row r="107" spans="1:9" x14ac:dyDescent="0.35">
      <c r="A107" t="s">
        <v>146</v>
      </c>
      <c r="B107" s="1">
        <v>46157</v>
      </c>
      <c r="C107" t="s">
        <v>24</v>
      </c>
      <c r="D107" t="s">
        <v>74</v>
      </c>
      <c r="E107" t="s">
        <v>17</v>
      </c>
      <c r="F107" t="s">
        <v>18</v>
      </c>
      <c r="G107">
        <v>6</v>
      </c>
      <c r="H107">
        <v>30500</v>
      </c>
      <c r="I107">
        <v>183000</v>
      </c>
    </row>
    <row r="108" spans="1:9" x14ac:dyDescent="0.35">
      <c r="A108" t="s">
        <v>147</v>
      </c>
      <c r="B108" s="1">
        <v>46040</v>
      </c>
      <c r="C108" t="s">
        <v>65</v>
      </c>
      <c r="D108" t="s">
        <v>49</v>
      </c>
      <c r="E108" t="s">
        <v>12</v>
      </c>
      <c r="F108" t="s">
        <v>13</v>
      </c>
      <c r="G108">
        <v>2</v>
      </c>
      <c r="H108">
        <v>2300</v>
      </c>
      <c r="I108">
        <v>4600</v>
      </c>
    </row>
    <row r="109" spans="1:9" x14ac:dyDescent="0.35">
      <c r="A109" t="s">
        <v>148</v>
      </c>
      <c r="B109" s="1">
        <v>46047</v>
      </c>
      <c r="C109" t="s">
        <v>29</v>
      </c>
      <c r="D109" t="s">
        <v>16</v>
      </c>
      <c r="E109" t="s">
        <v>12</v>
      </c>
      <c r="F109" t="s">
        <v>13</v>
      </c>
      <c r="G109">
        <v>3</v>
      </c>
      <c r="H109">
        <v>2400</v>
      </c>
      <c r="I109">
        <v>7200</v>
      </c>
    </row>
    <row r="110" spans="1:9" x14ac:dyDescent="0.35">
      <c r="A110" t="s">
        <v>149</v>
      </c>
      <c r="B110" s="1">
        <v>46125</v>
      </c>
      <c r="C110" t="s">
        <v>24</v>
      </c>
      <c r="D110" t="s">
        <v>16</v>
      </c>
      <c r="E110" t="s">
        <v>54</v>
      </c>
      <c r="F110" t="s">
        <v>55</v>
      </c>
      <c r="G110">
        <v>7</v>
      </c>
      <c r="H110">
        <v>20400</v>
      </c>
      <c r="I110">
        <v>142800</v>
      </c>
    </row>
    <row r="111" spans="1:9" x14ac:dyDescent="0.35">
      <c r="A111" t="s">
        <v>150</v>
      </c>
      <c r="B111" s="1">
        <v>46186</v>
      </c>
      <c r="C111" t="s">
        <v>15</v>
      </c>
      <c r="D111" t="s">
        <v>49</v>
      </c>
      <c r="E111" t="s">
        <v>32</v>
      </c>
      <c r="F111" t="s">
        <v>13</v>
      </c>
      <c r="G111">
        <v>7</v>
      </c>
      <c r="H111">
        <v>4800</v>
      </c>
      <c r="I111">
        <v>33600</v>
      </c>
    </row>
    <row r="112" spans="1:9" x14ac:dyDescent="0.35">
      <c r="A112" t="s">
        <v>151</v>
      </c>
      <c r="B112" s="1">
        <v>46164</v>
      </c>
      <c r="C112" t="s">
        <v>34</v>
      </c>
      <c r="D112" t="s">
        <v>25</v>
      </c>
      <c r="E112" t="s">
        <v>40</v>
      </c>
      <c r="F112" t="s">
        <v>13</v>
      </c>
      <c r="G112">
        <v>6</v>
      </c>
      <c r="H112">
        <v>6900</v>
      </c>
      <c r="I112">
        <v>41400</v>
      </c>
    </row>
    <row r="113" spans="1:9" x14ac:dyDescent="0.35">
      <c r="A113" t="s">
        <v>152</v>
      </c>
      <c r="B113" s="1">
        <v>46061</v>
      </c>
      <c r="C113" t="s">
        <v>46</v>
      </c>
      <c r="D113" t="s">
        <v>25</v>
      </c>
      <c r="E113" t="s">
        <v>37</v>
      </c>
      <c r="F113" t="s">
        <v>18</v>
      </c>
      <c r="G113">
        <v>5</v>
      </c>
      <c r="H113">
        <v>53600</v>
      </c>
      <c r="I113">
        <v>268000</v>
      </c>
    </row>
    <row r="114" spans="1:9" x14ac:dyDescent="0.35">
      <c r="A114" t="s">
        <v>153</v>
      </c>
      <c r="B114" s="1">
        <v>46189</v>
      </c>
      <c r="C114" t="s">
        <v>31</v>
      </c>
      <c r="D114" t="s">
        <v>16</v>
      </c>
      <c r="E114" t="s">
        <v>26</v>
      </c>
      <c r="F114" t="s">
        <v>18</v>
      </c>
      <c r="G114">
        <v>3</v>
      </c>
      <c r="H114">
        <v>75400</v>
      </c>
      <c r="I114">
        <v>226200</v>
      </c>
    </row>
    <row r="115" spans="1:9" x14ac:dyDescent="0.35">
      <c r="A115" t="s">
        <v>154</v>
      </c>
      <c r="B115" s="1">
        <v>46056</v>
      </c>
      <c r="C115" t="s">
        <v>65</v>
      </c>
      <c r="D115" t="s">
        <v>11</v>
      </c>
      <c r="E115" t="s">
        <v>63</v>
      </c>
      <c r="F115" t="s">
        <v>55</v>
      </c>
      <c r="G115">
        <v>6</v>
      </c>
      <c r="H115">
        <v>29500</v>
      </c>
      <c r="I115">
        <v>177000</v>
      </c>
    </row>
    <row r="116" spans="1:9" x14ac:dyDescent="0.35">
      <c r="A116" t="s">
        <v>155</v>
      </c>
      <c r="B116" s="1">
        <v>46188</v>
      </c>
      <c r="C116" t="s">
        <v>39</v>
      </c>
      <c r="D116" t="s">
        <v>49</v>
      </c>
      <c r="E116" t="s">
        <v>26</v>
      </c>
      <c r="F116" t="s">
        <v>18</v>
      </c>
      <c r="G116">
        <v>3</v>
      </c>
      <c r="H116">
        <v>74000</v>
      </c>
      <c r="I116">
        <v>222000</v>
      </c>
    </row>
    <row r="117" spans="1:9" x14ac:dyDescent="0.35">
      <c r="A117" t="s">
        <v>156</v>
      </c>
      <c r="B117" s="1">
        <v>46184</v>
      </c>
      <c r="C117" t="s">
        <v>15</v>
      </c>
      <c r="D117" t="s">
        <v>25</v>
      </c>
      <c r="E117" t="s">
        <v>63</v>
      </c>
      <c r="F117" t="s">
        <v>55</v>
      </c>
      <c r="G117">
        <v>2</v>
      </c>
      <c r="H117">
        <v>29600</v>
      </c>
      <c r="I117">
        <v>59200</v>
      </c>
    </row>
    <row r="118" spans="1:9" x14ac:dyDescent="0.35">
      <c r="A118" t="s">
        <v>157</v>
      </c>
      <c r="B118" s="1">
        <v>46127</v>
      </c>
      <c r="C118" t="s">
        <v>24</v>
      </c>
      <c r="D118" t="s">
        <v>36</v>
      </c>
      <c r="E118" t="s">
        <v>63</v>
      </c>
      <c r="F118" t="s">
        <v>55</v>
      </c>
      <c r="G118">
        <v>1</v>
      </c>
      <c r="H118">
        <v>27800</v>
      </c>
      <c r="I118">
        <v>27800</v>
      </c>
    </row>
    <row r="119" spans="1:9" x14ac:dyDescent="0.35">
      <c r="A119" t="s">
        <v>158</v>
      </c>
      <c r="B119" s="1">
        <v>46040</v>
      </c>
      <c r="C119" t="s">
        <v>10</v>
      </c>
      <c r="D119" t="s">
        <v>36</v>
      </c>
      <c r="E119" t="s">
        <v>61</v>
      </c>
      <c r="F119" t="s">
        <v>13</v>
      </c>
      <c r="G119">
        <v>2</v>
      </c>
      <c r="H119">
        <v>7500</v>
      </c>
      <c r="I119">
        <v>15000</v>
      </c>
    </row>
    <row r="120" spans="1:9" x14ac:dyDescent="0.35">
      <c r="A120" t="s">
        <v>159</v>
      </c>
      <c r="B120" s="1">
        <v>46196</v>
      </c>
      <c r="C120" t="s">
        <v>20</v>
      </c>
      <c r="D120" t="s">
        <v>49</v>
      </c>
      <c r="E120" t="s">
        <v>37</v>
      </c>
      <c r="F120" t="s">
        <v>18</v>
      </c>
      <c r="G120">
        <v>1</v>
      </c>
      <c r="H120">
        <v>56700</v>
      </c>
      <c r="I120">
        <v>56700</v>
      </c>
    </row>
    <row r="121" spans="1:9" x14ac:dyDescent="0.35">
      <c r="A121" t="s">
        <v>160</v>
      </c>
      <c r="B121" s="1">
        <v>46167</v>
      </c>
      <c r="C121" t="s">
        <v>31</v>
      </c>
      <c r="D121" t="s">
        <v>74</v>
      </c>
      <c r="E121" t="s">
        <v>32</v>
      </c>
      <c r="F121" t="s">
        <v>13</v>
      </c>
      <c r="G121">
        <v>3</v>
      </c>
      <c r="H121">
        <v>3900</v>
      </c>
      <c r="I121">
        <v>11700</v>
      </c>
    </row>
    <row r="122" spans="1:9" x14ac:dyDescent="0.35">
      <c r="A122" t="s">
        <v>161</v>
      </c>
      <c r="B122" s="1">
        <v>46129</v>
      </c>
      <c r="C122" t="s">
        <v>15</v>
      </c>
      <c r="D122" t="s">
        <v>74</v>
      </c>
      <c r="E122" t="s">
        <v>12</v>
      </c>
      <c r="F122" t="s">
        <v>13</v>
      </c>
      <c r="G122">
        <v>2</v>
      </c>
      <c r="H122">
        <v>2500</v>
      </c>
      <c r="I122">
        <v>5000</v>
      </c>
    </row>
    <row r="123" spans="1:9" x14ac:dyDescent="0.35">
      <c r="A123" t="s">
        <v>162</v>
      </c>
      <c r="B123" s="1">
        <v>46198</v>
      </c>
      <c r="C123" t="s">
        <v>65</v>
      </c>
      <c r="D123" t="s">
        <v>36</v>
      </c>
      <c r="E123" t="s">
        <v>32</v>
      </c>
      <c r="F123" t="s">
        <v>13</v>
      </c>
      <c r="G123">
        <v>3</v>
      </c>
      <c r="H123">
        <v>5100</v>
      </c>
      <c r="I123">
        <v>15300</v>
      </c>
    </row>
    <row r="124" spans="1:9" x14ac:dyDescent="0.35">
      <c r="A124" t="s">
        <v>163</v>
      </c>
      <c r="B124" s="1">
        <v>46042</v>
      </c>
      <c r="C124" t="s">
        <v>39</v>
      </c>
      <c r="D124" t="s">
        <v>49</v>
      </c>
      <c r="E124" t="s">
        <v>40</v>
      </c>
      <c r="F124" t="s">
        <v>13</v>
      </c>
      <c r="G124">
        <v>7</v>
      </c>
      <c r="H124">
        <v>6100</v>
      </c>
      <c r="I124">
        <v>42700</v>
      </c>
    </row>
    <row r="125" spans="1:9" x14ac:dyDescent="0.35">
      <c r="A125" t="s">
        <v>164</v>
      </c>
      <c r="B125" s="1">
        <v>46128</v>
      </c>
      <c r="C125" t="s">
        <v>10</v>
      </c>
      <c r="D125" t="s">
        <v>25</v>
      </c>
      <c r="E125" t="s">
        <v>17</v>
      </c>
      <c r="F125" t="s">
        <v>18</v>
      </c>
      <c r="G125">
        <v>8</v>
      </c>
      <c r="H125">
        <v>33000</v>
      </c>
      <c r="I125">
        <v>264000</v>
      </c>
    </row>
    <row r="126" spans="1:9" x14ac:dyDescent="0.35">
      <c r="A126" t="s">
        <v>165</v>
      </c>
      <c r="B126" s="1">
        <v>46095</v>
      </c>
      <c r="C126" t="s">
        <v>51</v>
      </c>
      <c r="D126" t="s">
        <v>16</v>
      </c>
      <c r="E126" t="s">
        <v>54</v>
      </c>
      <c r="F126" t="s">
        <v>55</v>
      </c>
      <c r="G126">
        <v>3</v>
      </c>
      <c r="H126">
        <v>21100</v>
      </c>
      <c r="I126">
        <v>63300</v>
      </c>
    </row>
    <row r="127" spans="1:9" x14ac:dyDescent="0.35">
      <c r="A127" t="s">
        <v>166</v>
      </c>
      <c r="B127" s="1">
        <v>46139</v>
      </c>
      <c r="C127" t="s">
        <v>65</v>
      </c>
      <c r="D127" t="s">
        <v>74</v>
      </c>
      <c r="E127" t="s">
        <v>32</v>
      </c>
      <c r="F127" t="s">
        <v>13</v>
      </c>
      <c r="G127">
        <v>6</v>
      </c>
      <c r="H127">
        <v>4200</v>
      </c>
      <c r="I127">
        <v>25200</v>
      </c>
    </row>
    <row r="128" spans="1:9" x14ac:dyDescent="0.35">
      <c r="A128" t="s">
        <v>167</v>
      </c>
      <c r="B128" s="1">
        <v>46128</v>
      </c>
      <c r="C128" t="s">
        <v>31</v>
      </c>
      <c r="D128" t="s">
        <v>49</v>
      </c>
      <c r="E128" t="s">
        <v>12</v>
      </c>
      <c r="F128" t="s">
        <v>13</v>
      </c>
      <c r="G128">
        <v>7</v>
      </c>
      <c r="H128">
        <v>2300</v>
      </c>
      <c r="I128">
        <v>16100</v>
      </c>
    </row>
    <row r="129" spans="1:9" x14ac:dyDescent="0.35">
      <c r="A129" t="s">
        <v>168</v>
      </c>
      <c r="B129" s="1">
        <v>46024</v>
      </c>
      <c r="C129" t="s">
        <v>15</v>
      </c>
      <c r="D129" t="s">
        <v>74</v>
      </c>
      <c r="E129" t="s">
        <v>12</v>
      </c>
      <c r="F129" t="s">
        <v>13</v>
      </c>
      <c r="G129">
        <v>1</v>
      </c>
      <c r="H129">
        <v>2700</v>
      </c>
      <c r="I129">
        <v>2700</v>
      </c>
    </row>
    <row r="130" spans="1:9" x14ac:dyDescent="0.35">
      <c r="A130" t="s">
        <v>169</v>
      </c>
      <c r="B130" s="1">
        <v>46103</v>
      </c>
      <c r="C130" t="s">
        <v>31</v>
      </c>
      <c r="D130" t="s">
        <v>25</v>
      </c>
      <c r="E130" t="s">
        <v>54</v>
      </c>
      <c r="F130" t="s">
        <v>55</v>
      </c>
      <c r="G130">
        <v>1</v>
      </c>
      <c r="H130">
        <v>19900</v>
      </c>
      <c r="I130">
        <v>19900</v>
      </c>
    </row>
    <row r="131" spans="1:9" x14ac:dyDescent="0.35">
      <c r="A131" t="s">
        <v>170</v>
      </c>
      <c r="B131" s="1">
        <v>46090</v>
      </c>
      <c r="C131" t="s">
        <v>34</v>
      </c>
      <c r="D131" t="s">
        <v>36</v>
      </c>
      <c r="E131" t="s">
        <v>17</v>
      </c>
      <c r="F131" t="s">
        <v>18</v>
      </c>
      <c r="G131">
        <v>4</v>
      </c>
      <c r="H131">
        <v>36300</v>
      </c>
      <c r="I131">
        <v>145200</v>
      </c>
    </row>
    <row r="132" spans="1:9" x14ac:dyDescent="0.35">
      <c r="A132" t="s">
        <v>171</v>
      </c>
      <c r="B132" s="1">
        <v>46184</v>
      </c>
      <c r="C132" t="s">
        <v>46</v>
      </c>
      <c r="D132" t="s">
        <v>49</v>
      </c>
      <c r="E132" t="s">
        <v>32</v>
      </c>
      <c r="F132" t="s">
        <v>13</v>
      </c>
      <c r="G132">
        <v>2</v>
      </c>
      <c r="H132">
        <v>4500</v>
      </c>
      <c r="I132">
        <v>9000</v>
      </c>
    </row>
    <row r="133" spans="1:9" x14ac:dyDescent="0.35">
      <c r="A133" t="s">
        <v>172</v>
      </c>
      <c r="B133" s="1">
        <v>46107</v>
      </c>
      <c r="C133" t="s">
        <v>31</v>
      </c>
      <c r="D133" t="s">
        <v>36</v>
      </c>
      <c r="E133" t="s">
        <v>17</v>
      </c>
      <c r="F133" t="s">
        <v>18</v>
      </c>
      <c r="G133">
        <v>3</v>
      </c>
      <c r="H133">
        <v>30000</v>
      </c>
      <c r="I133">
        <v>90000</v>
      </c>
    </row>
    <row r="134" spans="1:9" x14ac:dyDescent="0.35">
      <c r="A134" t="s">
        <v>173</v>
      </c>
      <c r="B134" s="1">
        <v>46089</v>
      </c>
      <c r="C134" t="s">
        <v>29</v>
      </c>
      <c r="D134" t="s">
        <v>16</v>
      </c>
      <c r="E134" t="s">
        <v>63</v>
      </c>
      <c r="F134" t="s">
        <v>55</v>
      </c>
      <c r="G134">
        <v>1</v>
      </c>
      <c r="H134">
        <v>29800</v>
      </c>
      <c r="I134">
        <v>29800</v>
      </c>
    </row>
    <row r="135" spans="1:9" x14ac:dyDescent="0.35">
      <c r="A135" t="s">
        <v>174</v>
      </c>
      <c r="B135" s="1">
        <v>46091</v>
      </c>
      <c r="C135" t="s">
        <v>51</v>
      </c>
      <c r="D135" t="s">
        <v>36</v>
      </c>
      <c r="E135" t="s">
        <v>12</v>
      </c>
      <c r="F135" t="s">
        <v>13</v>
      </c>
      <c r="G135">
        <v>5</v>
      </c>
      <c r="H135">
        <v>2700</v>
      </c>
      <c r="I135">
        <v>13500</v>
      </c>
    </row>
    <row r="136" spans="1:9" x14ac:dyDescent="0.35">
      <c r="A136" t="s">
        <v>175</v>
      </c>
      <c r="B136" s="1">
        <v>46148</v>
      </c>
      <c r="C136" t="s">
        <v>20</v>
      </c>
      <c r="D136" t="s">
        <v>25</v>
      </c>
      <c r="E136" t="s">
        <v>21</v>
      </c>
      <c r="F136" t="s">
        <v>22</v>
      </c>
      <c r="G136">
        <v>3</v>
      </c>
      <c r="H136">
        <v>31000</v>
      </c>
      <c r="I136">
        <v>93000</v>
      </c>
    </row>
    <row r="137" spans="1:9" x14ac:dyDescent="0.35">
      <c r="A137" t="s">
        <v>176</v>
      </c>
      <c r="B137" s="1">
        <v>46145</v>
      </c>
      <c r="C137" t="s">
        <v>29</v>
      </c>
      <c r="D137" t="s">
        <v>25</v>
      </c>
      <c r="E137" t="s">
        <v>17</v>
      </c>
      <c r="F137" t="s">
        <v>18</v>
      </c>
      <c r="G137">
        <v>2</v>
      </c>
      <c r="H137">
        <v>29800</v>
      </c>
      <c r="I137">
        <v>59600</v>
      </c>
    </row>
    <row r="138" spans="1:9" x14ac:dyDescent="0.35">
      <c r="A138" t="s">
        <v>177</v>
      </c>
      <c r="B138" s="1">
        <v>46164</v>
      </c>
      <c r="C138" t="s">
        <v>10</v>
      </c>
      <c r="D138" t="s">
        <v>11</v>
      </c>
      <c r="E138" t="s">
        <v>54</v>
      </c>
      <c r="F138" t="s">
        <v>55</v>
      </c>
      <c r="G138">
        <v>1</v>
      </c>
      <c r="H138">
        <v>23100</v>
      </c>
      <c r="I138">
        <v>23100</v>
      </c>
    </row>
    <row r="139" spans="1:9" x14ac:dyDescent="0.35">
      <c r="A139" t="s">
        <v>178</v>
      </c>
      <c r="B139" s="1">
        <v>46089</v>
      </c>
      <c r="C139" t="s">
        <v>39</v>
      </c>
      <c r="D139" t="s">
        <v>49</v>
      </c>
      <c r="E139" t="s">
        <v>61</v>
      </c>
      <c r="F139" t="s">
        <v>13</v>
      </c>
      <c r="G139">
        <v>4</v>
      </c>
      <c r="H139">
        <v>7700</v>
      </c>
      <c r="I139">
        <v>30800</v>
      </c>
    </row>
    <row r="140" spans="1:9" x14ac:dyDescent="0.35">
      <c r="A140" t="s">
        <v>179</v>
      </c>
      <c r="B140" s="1">
        <v>46093</v>
      </c>
      <c r="C140" t="s">
        <v>29</v>
      </c>
      <c r="D140" t="s">
        <v>11</v>
      </c>
      <c r="E140" t="s">
        <v>32</v>
      </c>
      <c r="F140" t="s">
        <v>13</v>
      </c>
      <c r="G140">
        <v>5</v>
      </c>
      <c r="H140">
        <v>4000</v>
      </c>
      <c r="I140">
        <v>20000</v>
      </c>
    </row>
    <row r="141" spans="1:9" x14ac:dyDescent="0.35">
      <c r="A141" t="s">
        <v>180</v>
      </c>
      <c r="B141" s="1">
        <v>46051</v>
      </c>
      <c r="C141" t="s">
        <v>39</v>
      </c>
      <c r="D141" t="s">
        <v>49</v>
      </c>
      <c r="E141" t="s">
        <v>26</v>
      </c>
      <c r="F141" t="s">
        <v>18</v>
      </c>
      <c r="G141">
        <v>6</v>
      </c>
      <c r="H141">
        <v>84700</v>
      </c>
      <c r="I141">
        <v>508200</v>
      </c>
    </row>
    <row r="142" spans="1:9" x14ac:dyDescent="0.35">
      <c r="A142" t="s">
        <v>181</v>
      </c>
      <c r="B142" s="1">
        <v>46090</v>
      </c>
      <c r="C142" t="s">
        <v>31</v>
      </c>
      <c r="D142" t="s">
        <v>36</v>
      </c>
      <c r="E142" t="s">
        <v>17</v>
      </c>
      <c r="F142" t="s">
        <v>18</v>
      </c>
      <c r="G142">
        <v>5</v>
      </c>
      <c r="H142">
        <v>31600</v>
      </c>
      <c r="I142">
        <v>158000</v>
      </c>
    </row>
    <row r="143" spans="1:9" x14ac:dyDescent="0.35">
      <c r="A143" t="s">
        <v>182</v>
      </c>
      <c r="B143" s="1">
        <v>46098</v>
      </c>
      <c r="C143" t="s">
        <v>65</v>
      </c>
      <c r="D143" t="s">
        <v>36</v>
      </c>
      <c r="E143" t="s">
        <v>37</v>
      </c>
      <c r="F143" t="s">
        <v>18</v>
      </c>
      <c r="G143">
        <v>8</v>
      </c>
      <c r="H143">
        <v>49300</v>
      </c>
      <c r="I143">
        <v>394400</v>
      </c>
    </row>
    <row r="144" spans="1:9" x14ac:dyDescent="0.35">
      <c r="A144" t="s">
        <v>183</v>
      </c>
      <c r="B144" s="1">
        <v>46072</v>
      </c>
      <c r="C144" t="s">
        <v>39</v>
      </c>
      <c r="D144" t="s">
        <v>49</v>
      </c>
      <c r="E144" t="s">
        <v>17</v>
      </c>
      <c r="F144" t="s">
        <v>18</v>
      </c>
      <c r="G144">
        <v>2</v>
      </c>
      <c r="H144">
        <v>35300</v>
      </c>
      <c r="I144">
        <v>70600</v>
      </c>
    </row>
    <row r="145" spans="1:9" x14ac:dyDescent="0.35">
      <c r="A145" t="s">
        <v>184</v>
      </c>
      <c r="B145" s="1">
        <v>46075</v>
      </c>
      <c r="C145" t="s">
        <v>44</v>
      </c>
      <c r="D145" t="s">
        <v>74</v>
      </c>
      <c r="E145" t="s">
        <v>54</v>
      </c>
      <c r="F145" t="s">
        <v>55</v>
      </c>
      <c r="G145">
        <v>8</v>
      </c>
      <c r="H145">
        <v>19500</v>
      </c>
      <c r="I145">
        <v>156000</v>
      </c>
    </row>
    <row r="146" spans="1:9" x14ac:dyDescent="0.35">
      <c r="A146" t="s">
        <v>185</v>
      </c>
      <c r="B146" s="1">
        <v>46056</v>
      </c>
      <c r="C146" t="s">
        <v>46</v>
      </c>
      <c r="D146" t="s">
        <v>36</v>
      </c>
      <c r="E146" t="s">
        <v>17</v>
      </c>
      <c r="F146" t="s">
        <v>18</v>
      </c>
      <c r="G146">
        <v>1</v>
      </c>
      <c r="H146">
        <v>38500</v>
      </c>
      <c r="I146">
        <v>38500</v>
      </c>
    </row>
    <row r="147" spans="1:9" x14ac:dyDescent="0.35">
      <c r="A147" t="s">
        <v>186</v>
      </c>
      <c r="B147" s="1">
        <v>46114</v>
      </c>
      <c r="C147" t="s">
        <v>29</v>
      </c>
      <c r="D147" t="s">
        <v>11</v>
      </c>
      <c r="E147" t="s">
        <v>12</v>
      </c>
      <c r="F147" t="s">
        <v>13</v>
      </c>
      <c r="G147">
        <v>4</v>
      </c>
      <c r="H147">
        <v>2600</v>
      </c>
      <c r="I147">
        <v>10400</v>
      </c>
    </row>
    <row r="148" spans="1:9" x14ac:dyDescent="0.35">
      <c r="A148" t="s">
        <v>187</v>
      </c>
      <c r="B148" s="1">
        <v>46184</v>
      </c>
      <c r="C148" t="s">
        <v>51</v>
      </c>
      <c r="D148" t="s">
        <v>36</v>
      </c>
      <c r="E148" t="s">
        <v>63</v>
      </c>
      <c r="F148" t="s">
        <v>55</v>
      </c>
      <c r="G148">
        <v>1</v>
      </c>
      <c r="H148">
        <v>31200</v>
      </c>
      <c r="I148">
        <v>31200</v>
      </c>
    </row>
    <row r="149" spans="1:9" x14ac:dyDescent="0.35">
      <c r="A149" t="s">
        <v>188</v>
      </c>
      <c r="B149" s="1">
        <v>46141</v>
      </c>
      <c r="C149" t="s">
        <v>44</v>
      </c>
      <c r="D149" t="s">
        <v>49</v>
      </c>
      <c r="E149" t="s">
        <v>12</v>
      </c>
      <c r="F149" t="s">
        <v>13</v>
      </c>
      <c r="G149">
        <v>2</v>
      </c>
      <c r="H149">
        <v>2600</v>
      </c>
      <c r="I149">
        <v>5200</v>
      </c>
    </row>
    <row r="150" spans="1:9" x14ac:dyDescent="0.35">
      <c r="A150" t="s">
        <v>189</v>
      </c>
      <c r="B150" s="1">
        <v>46058</v>
      </c>
      <c r="C150" t="s">
        <v>65</v>
      </c>
      <c r="D150" t="s">
        <v>49</v>
      </c>
      <c r="E150" t="s">
        <v>21</v>
      </c>
      <c r="F150" t="s">
        <v>22</v>
      </c>
      <c r="G150">
        <v>7</v>
      </c>
      <c r="H150">
        <v>26400</v>
      </c>
      <c r="I150">
        <v>184800</v>
      </c>
    </row>
    <row r="151" spans="1:9" x14ac:dyDescent="0.35">
      <c r="A151" t="s">
        <v>190</v>
      </c>
      <c r="B151" s="1">
        <v>46190</v>
      </c>
      <c r="C151" t="s">
        <v>15</v>
      </c>
      <c r="D151" t="s">
        <v>74</v>
      </c>
      <c r="E151" t="s">
        <v>63</v>
      </c>
      <c r="F151" t="s">
        <v>55</v>
      </c>
      <c r="G151">
        <v>8</v>
      </c>
      <c r="H151">
        <v>27900</v>
      </c>
      <c r="I151">
        <v>223200</v>
      </c>
    </row>
    <row r="152" spans="1:9" x14ac:dyDescent="0.35">
      <c r="A152" t="s">
        <v>191</v>
      </c>
      <c r="B152" s="1">
        <v>46164</v>
      </c>
      <c r="C152" t="s">
        <v>34</v>
      </c>
      <c r="D152" t="s">
        <v>74</v>
      </c>
      <c r="E152" t="s">
        <v>54</v>
      </c>
      <c r="F152" t="s">
        <v>55</v>
      </c>
      <c r="G152">
        <v>6</v>
      </c>
      <c r="H152">
        <v>19500</v>
      </c>
      <c r="I152">
        <v>117000</v>
      </c>
    </row>
    <row r="153" spans="1:9" x14ac:dyDescent="0.35">
      <c r="A153" t="s">
        <v>192</v>
      </c>
      <c r="B153" s="1">
        <v>46167</v>
      </c>
      <c r="C153" t="s">
        <v>24</v>
      </c>
      <c r="D153" t="s">
        <v>25</v>
      </c>
      <c r="E153" t="s">
        <v>37</v>
      </c>
      <c r="F153" t="s">
        <v>18</v>
      </c>
      <c r="G153">
        <v>6</v>
      </c>
      <c r="H153">
        <v>56800</v>
      </c>
      <c r="I153">
        <v>340800</v>
      </c>
    </row>
    <row r="154" spans="1:9" x14ac:dyDescent="0.35">
      <c r="A154" t="s">
        <v>193</v>
      </c>
      <c r="B154" s="1">
        <v>46065</v>
      </c>
      <c r="C154" t="s">
        <v>24</v>
      </c>
      <c r="D154" t="s">
        <v>74</v>
      </c>
      <c r="E154" t="s">
        <v>21</v>
      </c>
      <c r="F154" t="s">
        <v>22</v>
      </c>
      <c r="G154">
        <v>2</v>
      </c>
      <c r="H154">
        <v>31800</v>
      </c>
      <c r="I154">
        <v>63600</v>
      </c>
    </row>
    <row r="155" spans="1:9" x14ac:dyDescent="0.35">
      <c r="A155" t="s">
        <v>194</v>
      </c>
      <c r="B155" s="1">
        <v>46181</v>
      </c>
      <c r="C155" t="s">
        <v>31</v>
      </c>
      <c r="D155" t="s">
        <v>11</v>
      </c>
      <c r="E155" t="s">
        <v>26</v>
      </c>
      <c r="F155" t="s">
        <v>18</v>
      </c>
      <c r="G155">
        <v>3</v>
      </c>
      <c r="H155">
        <v>76300</v>
      </c>
      <c r="I155">
        <v>228900</v>
      </c>
    </row>
    <row r="156" spans="1:9" x14ac:dyDescent="0.35">
      <c r="A156" t="s">
        <v>195</v>
      </c>
      <c r="B156" s="1">
        <v>46190</v>
      </c>
      <c r="C156" t="s">
        <v>31</v>
      </c>
      <c r="D156" t="s">
        <v>36</v>
      </c>
      <c r="E156" t="s">
        <v>63</v>
      </c>
      <c r="F156" t="s">
        <v>55</v>
      </c>
      <c r="G156">
        <v>5</v>
      </c>
      <c r="H156">
        <v>26000</v>
      </c>
      <c r="I156">
        <v>130000</v>
      </c>
    </row>
    <row r="157" spans="1:9" x14ac:dyDescent="0.35">
      <c r="A157" t="s">
        <v>196</v>
      </c>
      <c r="B157" s="1">
        <v>46106</v>
      </c>
      <c r="C157" t="s">
        <v>39</v>
      </c>
      <c r="D157" t="s">
        <v>16</v>
      </c>
      <c r="E157" t="s">
        <v>21</v>
      </c>
      <c r="F157" t="s">
        <v>22</v>
      </c>
      <c r="G157">
        <v>6</v>
      </c>
      <c r="H157">
        <v>28400</v>
      </c>
      <c r="I157">
        <v>170400</v>
      </c>
    </row>
    <row r="158" spans="1:9" x14ac:dyDescent="0.35">
      <c r="A158" t="s">
        <v>197</v>
      </c>
      <c r="B158" s="1">
        <v>46100</v>
      </c>
      <c r="C158" t="s">
        <v>29</v>
      </c>
      <c r="D158" t="s">
        <v>25</v>
      </c>
      <c r="E158" t="s">
        <v>40</v>
      </c>
      <c r="F158" t="s">
        <v>13</v>
      </c>
      <c r="G158">
        <v>1</v>
      </c>
      <c r="H158">
        <v>7000</v>
      </c>
      <c r="I158">
        <v>7000</v>
      </c>
    </row>
    <row r="159" spans="1:9" x14ac:dyDescent="0.35">
      <c r="A159" t="s">
        <v>198</v>
      </c>
      <c r="B159" s="1">
        <v>46159</v>
      </c>
      <c r="C159" t="s">
        <v>10</v>
      </c>
      <c r="D159" t="s">
        <v>16</v>
      </c>
      <c r="E159" t="s">
        <v>63</v>
      </c>
      <c r="F159" t="s">
        <v>55</v>
      </c>
      <c r="G159">
        <v>5</v>
      </c>
      <c r="H159">
        <v>28100</v>
      </c>
      <c r="I159">
        <v>140500</v>
      </c>
    </row>
    <row r="160" spans="1:9" x14ac:dyDescent="0.35">
      <c r="A160" t="s">
        <v>199</v>
      </c>
      <c r="B160" s="1">
        <v>46035</v>
      </c>
      <c r="C160" t="s">
        <v>34</v>
      </c>
      <c r="D160" t="s">
        <v>49</v>
      </c>
      <c r="E160" t="s">
        <v>26</v>
      </c>
      <c r="F160" t="s">
        <v>18</v>
      </c>
      <c r="G160">
        <v>4</v>
      </c>
      <c r="H160">
        <v>79500</v>
      </c>
      <c r="I160">
        <v>318000</v>
      </c>
    </row>
    <row r="161" spans="1:9" x14ac:dyDescent="0.35">
      <c r="A161" t="s">
        <v>200</v>
      </c>
      <c r="B161" s="1">
        <v>46164</v>
      </c>
      <c r="C161" t="s">
        <v>44</v>
      </c>
      <c r="D161" t="s">
        <v>16</v>
      </c>
      <c r="E161" t="s">
        <v>40</v>
      </c>
      <c r="F161" t="s">
        <v>13</v>
      </c>
      <c r="G161">
        <v>3</v>
      </c>
      <c r="H161">
        <v>7000</v>
      </c>
      <c r="I161">
        <v>21000</v>
      </c>
    </row>
    <row r="162" spans="1:9" x14ac:dyDescent="0.35">
      <c r="A162" t="s">
        <v>201</v>
      </c>
      <c r="B162" s="1">
        <v>46100</v>
      </c>
      <c r="C162" t="s">
        <v>15</v>
      </c>
      <c r="D162" t="s">
        <v>74</v>
      </c>
      <c r="E162" t="s">
        <v>54</v>
      </c>
      <c r="F162" t="s">
        <v>55</v>
      </c>
      <c r="G162">
        <v>5</v>
      </c>
      <c r="H162">
        <v>19500</v>
      </c>
      <c r="I162">
        <v>97500</v>
      </c>
    </row>
    <row r="163" spans="1:9" x14ac:dyDescent="0.35">
      <c r="A163" t="s">
        <v>202</v>
      </c>
      <c r="B163" s="1">
        <v>46132</v>
      </c>
      <c r="C163" t="s">
        <v>65</v>
      </c>
      <c r="D163" t="s">
        <v>11</v>
      </c>
      <c r="E163" t="s">
        <v>32</v>
      </c>
      <c r="F163" t="s">
        <v>13</v>
      </c>
      <c r="G163">
        <v>8</v>
      </c>
      <c r="H163">
        <v>4400</v>
      </c>
      <c r="I163">
        <v>35200</v>
      </c>
    </row>
    <row r="164" spans="1:9" x14ac:dyDescent="0.35">
      <c r="A164" t="s">
        <v>203</v>
      </c>
      <c r="B164" s="1">
        <v>46094</v>
      </c>
      <c r="C164" t="s">
        <v>31</v>
      </c>
      <c r="D164" t="s">
        <v>16</v>
      </c>
      <c r="E164" t="s">
        <v>63</v>
      </c>
      <c r="F164" t="s">
        <v>55</v>
      </c>
      <c r="G164">
        <v>4</v>
      </c>
      <c r="H164">
        <v>25800</v>
      </c>
      <c r="I164">
        <v>103200</v>
      </c>
    </row>
    <row r="165" spans="1:9" x14ac:dyDescent="0.35">
      <c r="A165" t="s">
        <v>204</v>
      </c>
      <c r="B165" s="1">
        <v>46069</v>
      </c>
      <c r="C165" t="s">
        <v>24</v>
      </c>
      <c r="D165" t="s">
        <v>16</v>
      </c>
      <c r="E165" t="s">
        <v>26</v>
      </c>
      <c r="F165" t="s">
        <v>18</v>
      </c>
      <c r="G165">
        <v>3</v>
      </c>
      <c r="H165">
        <v>78800</v>
      </c>
      <c r="I165">
        <v>236400</v>
      </c>
    </row>
    <row r="166" spans="1:9" x14ac:dyDescent="0.35">
      <c r="A166" t="s">
        <v>205</v>
      </c>
      <c r="B166" s="1">
        <v>46041</v>
      </c>
      <c r="C166" t="s">
        <v>31</v>
      </c>
      <c r="D166" t="s">
        <v>25</v>
      </c>
      <c r="E166" t="s">
        <v>26</v>
      </c>
      <c r="F166" t="s">
        <v>18</v>
      </c>
      <c r="G166">
        <v>6</v>
      </c>
      <c r="H166">
        <v>77900</v>
      </c>
      <c r="I166">
        <v>467400</v>
      </c>
    </row>
    <row r="167" spans="1:9" x14ac:dyDescent="0.35">
      <c r="A167" t="s">
        <v>206</v>
      </c>
      <c r="B167" s="1">
        <v>46140</v>
      </c>
      <c r="C167" t="s">
        <v>24</v>
      </c>
      <c r="D167" t="s">
        <v>11</v>
      </c>
      <c r="E167" t="s">
        <v>17</v>
      </c>
      <c r="F167" t="s">
        <v>18</v>
      </c>
      <c r="G167">
        <v>3</v>
      </c>
      <c r="H167">
        <v>31800</v>
      </c>
      <c r="I167">
        <v>95400</v>
      </c>
    </row>
    <row r="168" spans="1:9" x14ac:dyDescent="0.35">
      <c r="A168" t="s">
        <v>207</v>
      </c>
      <c r="B168" s="1">
        <v>46162</v>
      </c>
      <c r="C168" t="s">
        <v>31</v>
      </c>
      <c r="D168" t="s">
        <v>16</v>
      </c>
      <c r="E168" t="s">
        <v>54</v>
      </c>
      <c r="F168" t="s">
        <v>55</v>
      </c>
      <c r="G168">
        <v>4</v>
      </c>
      <c r="H168">
        <v>22900</v>
      </c>
      <c r="I168">
        <v>91600</v>
      </c>
    </row>
    <row r="169" spans="1:9" x14ac:dyDescent="0.35">
      <c r="A169" t="s">
        <v>208</v>
      </c>
      <c r="B169" s="1">
        <v>46191</v>
      </c>
      <c r="C169" t="s">
        <v>10</v>
      </c>
      <c r="D169" t="s">
        <v>25</v>
      </c>
      <c r="E169" t="s">
        <v>40</v>
      </c>
      <c r="F169" t="s">
        <v>13</v>
      </c>
      <c r="G169">
        <v>1</v>
      </c>
      <c r="H169">
        <v>7200</v>
      </c>
      <c r="I169">
        <v>7200</v>
      </c>
    </row>
    <row r="170" spans="1:9" x14ac:dyDescent="0.35">
      <c r="A170" t="s">
        <v>209</v>
      </c>
      <c r="B170" s="1">
        <v>46024</v>
      </c>
      <c r="C170" t="s">
        <v>15</v>
      </c>
      <c r="D170" t="s">
        <v>74</v>
      </c>
      <c r="E170" t="s">
        <v>54</v>
      </c>
      <c r="F170" t="s">
        <v>55</v>
      </c>
      <c r="G170">
        <v>3</v>
      </c>
      <c r="H170">
        <v>19500</v>
      </c>
      <c r="I170">
        <v>58500</v>
      </c>
    </row>
    <row r="171" spans="1:9" x14ac:dyDescent="0.35">
      <c r="A171" t="s">
        <v>210</v>
      </c>
      <c r="B171" s="1">
        <v>46136</v>
      </c>
      <c r="C171" t="s">
        <v>39</v>
      </c>
      <c r="D171" t="s">
        <v>16</v>
      </c>
      <c r="E171" t="s">
        <v>61</v>
      </c>
      <c r="F171" t="s">
        <v>13</v>
      </c>
      <c r="G171">
        <v>7</v>
      </c>
      <c r="H171">
        <v>7200</v>
      </c>
      <c r="I171">
        <v>50400</v>
      </c>
    </row>
    <row r="172" spans="1:9" x14ac:dyDescent="0.35">
      <c r="A172" t="s">
        <v>211</v>
      </c>
      <c r="B172" s="1">
        <v>46054</v>
      </c>
      <c r="C172" t="s">
        <v>65</v>
      </c>
      <c r="D172" t="s">
        <v>25</v>
      </c>
      <c r="E172" t="s">
        <v>32</v>
      </c>
      <c r="F172" t="s">
        <v>13</v>
      </c>
      <c r="G172">
        <v>6</v>
      </c>
      <c r="H172">
        <v>4500</v>
      </c>
      <c r="I172">
        <v>27000</v>
      </c>
    </row>
    <row r="173" spans="1:9" x14ac:dyDescent="0.35">
      <c r="A173" t="s">
        <v>212</v>
      </c>
      <c r="B173" s="1">
        <v>46133</v>
      </c>
      <c r="C173" t="s">
        <v>29</v>
      </c>
      <c r="D173" t="s">
        <v>36</v>
      </c>
      <c r="E173" t="s">
        <v>37</v>
      </c>
      <c r="F173" t="s">
        <v>18</v>
      </c>
      <c r="G173">
        <v>6</v>
      </c>
      <c r="H173">
        <v>62700</v>
      </c>
      <c r="I173">
        <v>376200</v>
      </c>
    </row>
    <row r="174" spans="1:9" x14ac:dyDescent="0.35">
      <c r="A174" t="s">
        <v>213</v>
      </c>
      <c r="B174" s="1">
        <v>46203</v>
      </c>
      <c r="C174" t="s">
        <v>65</v>
      </c>
      <c r="D174" t="s">
        <v>25</v>
      </c>
      <c r="E174" t="s">
        <v>63</v>
      </c>
      <c r="F174" t="s">
        <v>55</v>
      </c>
      <c r="G174">
        <v>7</v>
      </c>
      <c r="H174">
        <v>29000</v>
      </c>
      <c r="I174">
        <v>203000</v>
      </c>
    </row>
    <row r="175" spans="1:9" x14ac:dyDescent="0.35">
      <c r="A175" t="s">
        <v>214</v>
      </c>
      <c r="B175" s="1">
        <v>46201</v>
      </c>
      <c r="C175" t="s">
        <v>34</v>
      </c>
      <c r="D175" t="s">
        <v>16</v>
      </c>
      <c r="E175" t="s">
        <v>21</v>
      </c>
      <c r="F175" t="s">
        <v>22</v>
      </c>
      <c r="G175">
        <v>5</v>
      </c>
      <c r="H175">
        <v>31900</v>
      </c>
      <c r="I175">
        <v>159500</v>
      </c>
    </row>
    <row r="176" spans="1:9" x14ac:dyDescent="0.35">
      <c r="A176" t="s">
        <v>215</v>
      </c>
      <c r="B176" s="1">
        <v>46050</v>
      </c>
      <c r="C176" t="s">
        <v>15</v>
      </c>
      <c r="D176" t="s">
        <v>36</v>
      </c>
      <c r="E176" t="s">
        <v>17</v>
      </c>
      <c r="F176" t="s">
        <v>18</v>
      </c>
      <c r="G176">
        <v>3</v>
      </c>
      <c r="H176">
        <v>39900</v>
      </c>
      <c r="I176">
        <v>119700</v>
      </c>
    </row>
    <row r="177" spans="1:9" x14ac:dyDescent="0.35">
      <c r="A177" t="s">
        <v>216</v>
      </c>
      <c r="B177" s="1">
        <v>46133</v>
      </c>
      <c r="C177" t="s">
        <v>34</v>
      </c>
      <c r="D177" t="s">
        <v>74</v>
      </c>
      <c r="E177" t="s">
        <v>37</v>
      </c>
      <c r="F177" t="s">
        <v>18</v>
      </c>
      <c r="G177">
        <v>6</v>
      </c>
      <c r="H177">
        <v>54000</v>
      </c>
      <c r="I177">
        <v>324000</v>
      </c>
    </row>
    <row r="178" spans="1:9" x14ac:dyDescent="0.35">
      <c r="A178" t="s">
        <v>217</v>
      </c>
      <c r="B178" s="1">
        <v>46046</v>
      </c>
      <c r="C178" t="s">
        <v>39</v>
      </c>
      <c r="D178" t="s">
        <v>49</v>
      </c>
      <c r="E178" t="s">
        <v>61</v>
      </c>
      <c r="F178" t="s">
        <v>13</v>
      </c>
      <c r="G178">
        <v>5</v>
      </c>
      <c r="H178">
        <v>8900</v>
      </c>
      <c r="I178">
        <v>44500</v>
      </c>
    </row>
    <row r="179" spans="1:9" x14ac:dyDescent="0.35">
      <c r="A179" t="s">
        <v>218</v>
      </c>
      <c r="B179" s="1">
        <v>46042</v>
      </c>
      <c r="C179" t="s">
        <v>31</v>
      </c>
      <c r="D179" t="s">
        <v>36</v>
      </c>
      <c r="E179" t="s">
        <v>63</v>
      </c>
      <c r="F179" t="s">
        <v>55</v>
      </c>
      <c r="G179">
        <v>5</v>
      </c>
      <c r="H179">
        <v>33800</v>
      </c>
      <c r="I179">
        <v>169000</v>
      </c>
    </row>
    <row r="180" spans="1:9" x14ac:dyDescent="0.35">
      <c r="A180" t="s">
        <v>219</v>
      </c>
      <c r="B180" s="1">
        <v>46096</v>
      </c>
      <c r="C180" t="s">
        <v>29</v>
      </c>
      <c r="D180" t="s">
        <v>11</v>
      </c>
      <c r="E180" t="s">
        <v>61</v>
      </c>
      <c r="F180" t="s">
        <v>13</v>
      </c>
      <c r="G180">
        <v>1</v>
      </c>
      <c r="H180">
        <v>6900</v>
      </c>
      <c r="I180">
        <v>6900</v>
      </c>
    </row>
    <row r="181" spans="1:9" x14ac:dyDescent="0.35">
      <c r="A181" t="s">
        <v>220</v>
      </c>
      <c r="B181" s="1">
        <v>46204</v>
      </c>
      <c r="C181" t="s">
        <v>20</v>
      </c>
      <c r="D181" t="s">
        <v>16</v>
      </c>
      <c r="E181" t="s">
        <v>54</v>
      </c>
      <c r="F181" t="s">
        <v>55</v>
      </c>
      <c r="G181">
        <v>3</v>
      </c>
      <c r="H181">
        <v>19000</v>
      </c>
      <c r="I181">
        <v>57000</v>
      </c>
    </row>
    <row r="182" spans="1:9" x14ac:dyDescent="0.35">
      <c r="A182" t="s">
        <v>221</v>
      </c>
      <c r="B182" s="1">
        <v>46084</v>
      </c>
      <c r="C182" t="s">
        <v>20</v>
      </c>
      <c r="D182" t="s">
        <v>11</v>
      </c>
      <c r="E182" t="s">
        <v>12</v>
      </c>
      <c r="F182" t="s">
        <v>13</v>
      </c>
      <c r="G182">
        <v>8</v>
      </c>
      <c r="H182">
        <v>2400</v>
      </c>
      <c r="I182">
        <v>19200</v>
      </c>
    </row>
    <row r="183" spans="1:9" x14ac:dyDescent="0.35">
      <c r="A183" t="s">
        <v>222</v>
      </c>
      <c r="B183" s="1">
        <v>46081</v>
      </c>
      <c r="C183" t="s">
        <v>65</v>
      </c>
      <c r="D183" t="s">
        <v>16</v>
      </c>
      <c r="E183" t="s">
        <v>54</v>
      </c>
      <c r="F183" t="s">
        <v>55</v>
      </c>
      <c r="G183">
        <v>7</v>
      </c>
      <c r="H183">
        <v>22200</v>
      </c>
      <c r="I183">
        <v>155400</v>
      </c>
    </row>
    <row r="184" spans="1:9" x14ac:dyDescent="0.35">
      <c r="A184" t="s">
        <v>223</v>
      </c>
      <c r="B184" s="1">
        <v>46073</v>
      </c>
      <c r="C184" t="s">
        <v>39</v>
      </c>
      <c r="D184" t="s">
        <v>25</v>
      </c>
      <c r="E184" t="s">
        <v>63</v>
      </c>
      <c r="F184" t="s">
        <v>55</v>
      </c>
      <c r="G184">
        <v>7</v>
      </c>
      <c r="H184">
        <v>28200</v>
      </c>
      <c r="I184">
        <v>197400</v>
      </c>
    </row>
    <row r="185" spans="1:9" x14ac:dyDescent="0.35">
      <c r="A185" t="s">
        <v>224</v>
      </c>
      <c r="B185" s="1">
        <v>46055</v>
      </c>
      <c r="C185" t="s">
        <v>44</v>
      </c>
      <c r="D185" t="s">
        <v>49</v>
      </c>
      <c r="E185" t="s">
        <v>32</v>
      </c>
      <c r="F185" t="s">
        <v>13</v>
      </c>
      <c r="G185">
        <v>5</v>
      </c>
      <c r="H185">
        <v>4000</v>
      </c>
      <c r="I185">
        <v>20000</v>
      </c>
    </row>
    <row r="186" spans="1:9" x14ac:dyDescent="0.35">
      <c r="A186" t="s">
        <v>225</v>
      </c>
      <c r="B186" s="1">
        <v>46200</v>
      </c>
      <c r="C186" t="s">
        <v>34</v>
      </c>
      <c r="D186" t="s">
        <v>25</v>
      </c>
      <c r="E186" t="s">
        <v>32</v>
      </c>
      <c r="F186" t="s">
        <v>13</v>
      </c>
      <c r="G186">
        <v>8</v>
      </c>
      <c r="H186">
        <v>4700</v>
      </c>
      <c r="I186">
        <v>37600</v>
      </c>
    </row>
    <row r="187" spans="1:9" x14ac:dyDescent="0.35">
      <c r="A187" t="s">
        <v>226</v>
      </c>
      <c r="B187" s="1">
        <v>46161</v>
      </c>
      <c r="C187" t="s">
        <v>34</v>
      </c>
      <c r="D187" t="s">
        <v>36</v>
      </c>
      <c r="E187" t="s">
        <v>54</v>
      </c>
      <c r="F187" t="s">
        <v>55</v>
      </c>
      <c r="G187">
        <v>8</v>
      </c>
      <c r="H187">
        <v>19900</v>
      </c>
      <c r="I187">
        <v>159200</v>
      </c>
    </row>
    <row r="188" spans="1:9" x14ac:dyDescent="0.35">
      <c r="A188" t="s">
        <v>227</v>
      </c>
      <c r="B188" s="1">
        <v>46127</v>
      </c>
      <c r="C188" t="s">
        <v>29</v>
      </c>
      <c r="D188" t="s">
        <v>49</v>
      </c>
      <c r="E188" t="s">
        <v>26</v>
      </c>
      <c r="F188" t="s">
        <v>18</v>
      </c>
      <c r="G188">
        <v>3</v>
      </c>
      <c r="H188">
        <v>84800</v>
      </c>
      <c r="I188">
        <v>254400</v>
      </c>
    </row>
    <row r="189" spans="1:9" x14ac:dyDescent="0.35">
      <c r="A189" t="s">
        <v>228</v>
      </c>
      <c r="B189" s="1">
        <v>46120</v>
      </c>
      <c r="C189" t="s">
        <v>20</v>
      </c>
      <c r="D189" t="s">
        <v>16</v>
      </c>
      <c r="E189" t="s">
        <v>63</v>
      </c>
      <c r="F189" t="s">
        <v>55</v>
      </c>
      <c r="G189">
        <v>4</v>
      </c>
      <c r="H189">
        <v>32500</v>
      </c>
      <c r="I189">
        <v>130000</v>
      </c>
    </row>
    <row r="190" spans="1:9" x14ac:dyDescent="0.35">
      <c r="A190" t="s">
        <v>229</v>
      </c>
      <c r="B190" s="1">
        <v>46197</v>
      </c>
      <c r="C190" t="s">
        <v>65</v>
      </c>
      <c r="D190" t="s">
        <v>36</v>
      </c>
      <c r="E190" t="s">
        <v>63</v>
      </c>
      <c r="F190" t="s">
        <v>55</v>
      </c>
      <c r="G190">
        <v>7</v>
      </c>
      <c r="H190">
        <v>26800</v>
      </c>
      <c r="I190">
        <v>187600</v>
      </c>
    </row>
    <row r="191" spans="1:9" x14ac:dyDescent="0.35">
      <c r="A191" t="s">
        <v>230</v>
      </c>
      <c r="B191" s="1">
        <v>46186</v>
      </c>
      <c r="C191" t="s">
        <v>24</v>
      </c>
      <c r="D191" t="s">
        <v>16</v>
      </c>
      <c r="E191" t="s">
        <v>40</v>
      </c>
      <c r="F191" t="s">
        <v>13</v>
      </c>
      <c r="G191">
        <v>6</v>
      </c>
      <c r="H191">
        <v>6400</v>
      </c>
      <c r="I191">
        <v>38400</v>
      </c>
    </row>
    <row r="192" spans="1:9" x14ac:dyDescent="0.35">
      <c r="A192" t="s">
        <v>231</v>
      </c>
      <c r="B192" s="1">
        <v>46047</v>
      </c>
      <c r="C192" t="s">
        <v>39</v>
      </c>
      <c r="D192" t="s">
        <v>16</v>
      </c>
      <c r="E192" t="s">
        <v>61</v>
      </c>
      <c r="F192" t="s">
        <v>13</v>
      </c>
      <c r="G192">
        <v>7</v>
      </c>
      <c r="H192">
        <v>7800</v>
      </c>
      <c r="I192">
        <v>54600</v>
      </c>
    </row>
    <row r="193" spans="1:9" x14ac:dyDescent="0.35">
      <c r="A193" t="s">
        <v>232</v>
      </c>
      <c r="B193" s="1">
        <v>46136</v>
      </c>
      <c r="C193" t="s">
        <v>65</v>
      </c>
      <c r="D193" t="s">
        <v>11</v>
      </c>
      <c r="E193" t="s">
        <v>40</v>
      </c>
      <c r="F193" t="s">
        <v>13</v>
      </c>
      <c r="G193">
        <v>4</v>
      </c>
      <c r="H193">
        <v>6700</v>
      </c>
      <c r="I193">
        <v>26800</v>
      </c>
    </row>
    <row r="194" spans="1:9" x14ac:dyDescent="0.35">
      <c r="A194" t="s">
        <v>233</v>
      </c>
      <c r="B194" s="1">
        <v>46163</v>
      </c>
      <c r="C194" t="s">
        <v>20</v>
      </c>
      <c r="D194" t="s">
        <v>36</v>
      </c>
      <c r="E194" t="s">
        <v>40</v>
      </c>
      <c r="F194" t="s">
        <v>13</v>
      </c>
      <c r="G194">
        <v>8</v>
      </c>
      <c r="H194">
        <v>6300</v>
      </c>
      <c r="I194">
        <v>50400</v>
      </c>
    </row>
    <row r="195" spans="1:9" x14ac:dyDescent="0.35">
      <c r="A195" t="s">
        <v>234</v>
      </c>
      <c r="B195" s="1">
        <v>46156</v>
      </c>
      <c r="C195" t="s">
        <v>34</v>
      </c>
      <c r="D195" t="s">
        <v>49</v>
      </c>
      <c r="E195" t="s">
        <v>21</v>
      </c>
      <c r="F195" t="s">
        <v>22</v>
      </c>
      <c r="G195">
        <v>2</v>
      </c>
      <c r="H195">
        <v>29700</v>
      </c>
      <c r="I195">
        <v>59400</v>
      </c>
    </row>
    <row r="196" spans="1:9" x14ac:dyDescent="0.35">
      <c r="A196" t="s">
        <v>235</v>
      </c>
      <c r="B196" s="1">
        <v>46086</v>
      </c>
      <c r="C196" t="s">
        <v>10</v>
      </c>
      <c r="D196" t="s">
        <v>74</v>
      </c>
      <c r="E196" t="s">
        <v>40</v>
      </c>
      <c r="F196" t="s">
        <v>13</v>
      </c>
      <c r="G196">
        <v>8</v>
      </c>
      <c r="H196">
        <v>5900</v>
      </c>
      <c r="I196">
        <v>47200</v>
      </c>
    </row>
    <row r="197" spans="1:9" x14ac:dyDescent="0.35">
      <c r="A197" t="s">
        <v>236</v>
      </c>
      <c r="B197" s="1">
        <v>46124</v>
      </c>
      <c r="C197" t="s">
        <v>65</v>
      </c>
      <c r="D197" t="s">
        <v>16</v>
      </c>
      <c r="E197" t="s">
        <v>21</v>
      </c>
      <c r="F197" t="s">
        <v>22</v>
      </c>
      <c r="G197">
        <v>2</v>
      </c>
      <c r="H197">
        <v>30500</v>
      </c>
      <c r="I197">
        <v>61000</v>
      </c>
    </row>
    <row r="198" spans="1:9" x14ac:dyDescent="0.35">
      <c r="A198" t="s">
        <v>237</v>
      </c>
      <c r="B198" s="1">
        <v>46164</v>
      </c>
      <c r="C198" t="s">
        <v>65</v>
      </c>
      <c r="D198" t="s">
        <v>74</v>
      </c>
      <c r="E198" t="s">
        <v>12</v>
      </c>
      <c r="F198" t="s">
        <v>13</v>
      </c>
      <c r="G198">
        <v>2</v>
      </c>
      <c r="H198">
        <v>2700</v>
      </c>
      <c r="I198">
        <v>5400</v>
      </c>
    </row>
    <row r="199" spans="1:9" x14ac:dyDescent="0.35">
      <c r="A199" t="s">
        <v>238</v>
      </c>
      <c r="B199" s="1">
        <v>46192</v>
      </c>
      <c r="C199" t="s">
        <v>239</v>
      </c>
      <c r="D199" t="s">
        <v>16</v>
      </c>
      <c r="E199" t="s">
        <v>40</v>
      </c>
      <c r="F199" t="s">
        <v>13</v>
      </c>
      <c r="G199">
        <v>8</v>
      </c>
      <c r="H199">
        <v>6300</v>
      </c>
      <c r="I199">
        <v>50400</v>
      </c>
    </row>
    <row r="200" spans="1:9" x14ac:dyDescent="0.35">
      <c r="A200" t="s">
        <v>240</v>
      </c>
      <c r="B200" s="1">
        <v>46075</v>
      </c>
      <c r="C200" t="s">
        <v>39</v>
      </c>
      <c r="D200" t="s">
        <v>74</v>
      </c>
      <c r="E200" t="s">
        <v>61</v>
      </c>
      <c r="F200" t="s">
        <v>13</v>
      </c>
      <c r="G200">
        <v>7</v>
      </c>
      <c r="H200">
        <v>8000</v>
      </c>
      <c r="I200">
        <v>56000</v>
      </c>
    </row>
    <row r="201" spans="1:9" x14ac:dyDescent="0.35">
      <c r="A201" t="s">
        <v>241</v>
      </c>
      <c r="B201" s="1">
        <v>46161</v>
      </c>
      <c r="C201" t="s">
        <v>10</v>
      </c>
      <c r="D201" t="s">
        <v>25</v>
      </c>
      <c r="E201" t="s">
        <v>40</v>
      </c>
      <c r="F201" t="s">
        <v>13</v>
      </c>
      <c r="G201">
        <v>3</v>
      </c>
      <c r="H201">
        <v>7500</v>
      </c>
      <c r="I201">
        <v>22500</v>
      </c>
    </row>
    <row r="202" spans="1:9" x14ac:dyDescent="0.35">
      <c r="A202" t="s">
        <v>242</v>
      </c>
      <c r="B202" s="1">
        <v>46154</v>
      </c>
      <c r="C202" t="s">
        <v>46</v>
      </c>
      <c r="D202" t="s">
        <v>49</v>
      </c>
      <c r="E202" t="s">
        <v>61</v>
      </c>
      <c r="F202" t="s">
        <v>13</v>
      </c>
      <c r="G202">
        <v>8</v>
      </c>
      <c r="H202">
        <v>7200</v>
      </c>
      <c r="I202">
        <v>57600</v>
      </c>
    </row>
    <row r="203" spans="1:9" x14ac:dyDescent="0.35">
      <c r="A203" t="s">
        <v>243</v>
      </c>
      <c r="B203" s="1">
        <v>46098</v>
      </c>
      <c r="C203" t="s">
        <v>24</v>
      </c>
      <c r="D203" t="s">
        <v>25</v>
      </c>
      <c r="E203" t="s">
        <v>37</v>
      </c>
      <c r="F203" t="s">
        <v>18</v>
      </c>
      <c r="G203">
        <v>6</v>
      </c>
      <c r="H203">
        <v>53400</v>
      </c>
      <c r="I203">
        <v>320400</v>
      </c>
    </row>
    <row r="204" spans="1:9" x14ac:dyDescent="0.35">
      <c r="A204" t="s">
        <v>244</v>
      </c>
      <c r="B204" s="1">
        <v>46125</v>
      </c>
      <c r="C204" t="s">
        <v>34</v>
      </c>
      <c r="D204" t="s">
        <v>11</v>
      </c>
      <c r="E204" t="s">
        <v>54</v>
      </c>
      <c r="F204" t="s">
        <v>55</v>
      </c>
      <c r="G204">
        <v>4</v>
      </c>
      <c r="H204">
        <v>23400</v>
      </c>
      <c r="I204">
        <v>93600</v>
      </c>
    </row>
    <row r="205" spans="1:9" x14ac:dyDescent="0.35">
      <c r="A205" t="s">
        <v>245</v>
      </c>
      <c r="B205" s="1">
        <v>46124</v>
      </c>
      <c r="C205" t="s">
        <v>24</v>
      </c>
      <c r="D205" t="s">
        <v>49</v>
      </c>
      <c r="E205" t="s">
        <v>21</v>
      </c>
      <c r="F205" t="s">
        <v>22</v>
      </c>
      <c r="G205">
        <v>1</v>
      </c>
      <c r="H205">
        <v>27300</v>
      </c>
      <c r="I205">
        <v>27300</v>
      </c>
    </row>
    <row r="206" spans="1:9" x14ac:dyDescent="0.35">
      <c r="A206" t="s">
        <v>246</v>
      </c>
      <c r="B206" s="1">
        <v>46066</v>
      </c>
      <c r="C206" t="s">
        <v>20</v>
      </c>
      <c r="D206" t="s">
        <v>74</v>
      </c>
      <c r="E206" t="s">
        <v>40</v>
      </c>
      <c r="F206" t="s">
        <v>13</v>
      </c>
      <c r="G206">
        <v>4</v>
      </c>
      <c r="H206">
        <v>6600</v>
      </c>
      <c r="I206">
        <v>26400</v>
      </c>
    </row>
    <row r="207" spans="1:9" x14ac:dyDescent="0.35">
      <c r="A207" t="s">
        <v>247</v>
      </c>
      <c r="B207" s="1">
        <v>46031</v>
      </c>
      <c r="C207" t="s">
        <v>24</v>
      </c>
      <c r="D207" t="s">
        <v>74</v>
      </c>
      <c r="E207" t="s">
        <v>17</v>
      </c>
      <c r="F207" t="s">
        <v>18</v>
      </c>
      <c r="G207">
        <v>7</v>
      </c>
      <c r="H207">
        <v>39200</v>
      </c>
      <c r="I207">
        <v>274400</v>
      </c>
    </row>
    <row r="208" spans="1:9" x14ac:dyDescent="0.35">
      <c r="A208" t="s">
        <v>248</v>
      </c>
      <c r="B208" s="1">
        <v>46082</v>
      </c>
      <c r="C208" t="s">
        <v>31</v>
      </c>
      <c r="D208" t="s">
        <v>11</v>
      </c>
      <c r="E208" t="s">
        <v>12</v>
      </c>
      <c r="F208" t="s">
        <v>13</v>
      </c>
      <c r="G208">
        <v>2</v>
      </c>
      <c r="H208">
        <v>2300</v>
      </c>
      <c r="I208">
        <v>4600</v>
      </c>
    </row>
    <row r="209" spans="1:9" x14ac:dyDescent="0.35">
      <c r="A209" t="s">
        <v>249</v>
      </c>
      <c r="B209" s="1">
        <v>46129</v>
      </c>
      <c r="C209" t="s">
        <v>46</v>
      </c>
      <c r="D209" t="s">
        <v>11</v>
      </c>
      <c r="E209" t="s">
        <v>63</v>
      </c>
      <c r="F209" t="s">
        <v>55</v>
      </c>
      <c r="G209">
        <v>6</v>
      </c>
      <c r="H209">
        <v>27700</v>
      </c>
      <c r="I209">
        <v>166200</v>
      </c>
    </row>
    <row r="210" spans="1:9" x14ac:dyDescent="0.35">
      <c r="A210" t="s">
        <v>250</v>
      </c>
      <c r="B210" s="1">
        <v>46099</v>
      </c>
      <c r="C210" t="s">
        <v>15</v>
      </c>
      <c r="D210" t="s">
        <v>74</v>
      </c>
      <c r="E210" t="s">
        <v>40</v>
      </c>
      <c r="F210" t="s">
        <v>13</v>
      </c>
      <c r="G210">
        <v>1</v>
      </c>
      <c r="H210">
        <v>6100</v>
      </c>
      <c r="I210">
        <v>6100</v>
      </c>
    </row>
    <row r="211" spans="1:9" x14ac:dyDescent="0.35">
      <c r="A211" t="s">
        <v>251</v>
      </c>
      <c r="B211" s="1">
        <v>46110</v>
      </c>
      <c r="C211" t="s">
        <v>29</v>
      </c>
      <c r="D211" t="s">
        <v>74</v>
      </c>
      <c r="E211" t="s">
        <v>17</v>
      </c>
      <c r="F211" t="s">
        <v>18</v>
      </c>
      <c r="G211">
        <v>7</v>
      </c>
      <c r="H211">
        <v>36800</v>
      </c>
      <c r="I211">
        <v>257600</v>
      </c>
    </row>
    <row r="212" spans="1:9" x14ac:dyDescent="0.35">
      <c r="A212" t="s">
        <v>252</v>
      </c>
      <c r="B212" s="1">
        <v>46140</v>
      </c>
      <c r="C212" t="s">
        <v>15</v>
      </c>
      <c r="D212" t="s">
        <v>25</v>
      </c>
      <c r="E212" t="s">
        <v>17</v>
      </c>
      <c r="F212" t="s">
        <v>18</v>
      </c>
      <c r="G212">
        <v>6</v>
      </c>
      <c r="H212">
        <v>33400</v>
      </c>
      <c r="I212">
        <v>200400</v>
      </c>
    </row>
    <row r="213" spans="1:9" x14ac:dyDescent="0.35">
      <c r="A213" t="s">
        <v>253</v>
      </c>
      <c r="B213" s="1">
        <v>46166</v>
      </c>
      <c r="C213" t="s">
        <v>65</v>
      </c>
      <c r="D213" t="s">
        <v>74</v>
      </c>
      <c r="E213" t="s">
        <v>37</v>
      </c>
      <c r="F213" t="s">
        <v>18</v>
      </c>
      <c r="G213">
        <v>2</v>
      </c>
      <c r="H213">
        <v>58700</v>
      </c>
      <c r="I213">
        <v>117400</v>
      </c>
    </row>
    <row r="214" spans="1:9" x14ac:dyDescent="0.35">
      <c r="A214" t="s">
        <v>254</v>
      </c>
      <c r="B214" s="1">
        <v>46068</v>
      </c>
      <c r="C214" t="s">
        <v>51</v>
      </c>
      <c r="D214" t="s">
        <v>36</v>
      </c>
      <c r="E214" t="s">
        <v>32</v>
      </c>
      <c r="F214" t="s">
        <v>13</v>
      </c>
      <c r="G214">
        <v>4</v>
      </c>
      <c r="H214">
        <v>5000</v>
      </c>
      <c r="I214">
        <v>20000</v>
      </c>
    </row>
    <row r="215" spans="1:9" x14ac:dyDescent="0.35">
      <c r="A215" t="s">
        <v>255</v>
      </c>
      <c r="B215" s="1">
        <v>46143</v>
      </c>
      <c r="C215" t="s">
        <v>10</v>
      </c>
      <c r="D215" t="s">
        <v>36</v>
      </c>
      <c r="E215" t="s">
        <v>37</v>
      </c>
      <c r="F215" t="s">
        <v>18</v>
      </c>
      <c r="G215">
        <v>8</v>
      </c>
      <c r="H215">
        <v>58100</v>
      </c>
      <c r="I215">
        <v>464800</v>
      </c>
    </row>
    <row r="216" spans="1:9" x14ac:dyDescent="0.35">
      <c r="A216" t="s">
        <v>256</v>
      </c>
      <c r="B216" s="1">
        <v>46095</v>
      </c>
      <c r="C216" t="s">
        <v>51</v>
      </c>
      <c r="D216" t="s">
        <v>74</v>
      </c>
      <c r="E216" t="s">
        <v>63</v>
      </c>
      <c r="F216" t="s">
        <v>55</v>
      </c>
      <c r="G216">
        <v>8</v>
      </c>
      <c r="H216">
        <v>29700</v>
      </c>
      <c r="I216">
        <v>237600</v>
      </c>
    </row>
    <row r="217" spans="1:9" x14ac:dyDescent="0.35">
      <c r="A217" t="s">
        <v>257</v>
      </c>
      <c r="B217" s="1">
        <v>46131</v>
      </c>
      <c r="C217" t="s">
        <v>15</v>
      </c>
      <c r="D217" t="s">
        <v>49</v>
      </c>
      <c r="E217" t="s">
        <v>40</v>
      </c>
      <c r="F217" t="s">
        <v>13</v>
      </c>
      <c r="G217">
        <v>5</v>
      </c>
      <c r="H217">
        <v>7200</v>
      </c>
      <c r="I217">
        <v>36000</v>
      </c>
    </row>
    <row r="218" spans="1:9" x14ac:dyDescent="0.35">
      <c r="A218" t="s">
        <v>258</v>
      </c>
      <c r="B218" s="1">
        <v>46106</v>
      </c>
      <c r="C218" t="s">
        <v>46</v>
      </c>
      <c r="D218" t="s">
        <v>36</v>
      </c>
      <c r="E218" t="s">
        <v>40</v>
      </c>
      <c r="F218" t="s">
        <v>13</v>
      </c>
      <c r="G218">
        <v>1</v>
      </c>
      <c r="H218">
        <v>5900</v>
      </c>
      <c r="I218">
        <v>5900</v>
      </c>
    </row>
    <row r="219" spans="1:9" x14ac:dyDescent="0.35">
      <c r="A219" t="s">
        <v>259</v>
      </c>
      <c r="B219" s="1">
        <v>46039</v>
      </c>
      <c r="C219" t="s">
        <v>46</v>
      </c>
      <c r="D219" t="s">
        <v>16</v>
      </c>
      <c r="E219" t="s">
        <v>40</v>
      </c>
      <c r="F219" t="s">
        <v>13</v>
      </c>
      <c r="G219">
        <v>5</v>
      </c>
      <c r="H219">
        <v>6500</v>
      </c>
      <c r="I219">
        <v>32500</v>
      </c>
    </row>
    <row r="220" spans="1:9" x14ac:dyDescent="0.35">
      <c r="A220" t="s">
        <v>260</v>
      </c>
      <c r="B220" s="1">
        <v>46192</v>
      </c>
      <c r="C220" t="s">
        <v>39</v>
      </c>
      <c r="D220" t="s">
        <v>74</v>
      </c>
      <c r="E220" t="s">
        <v>63</v>
      </c>
      <c r="F220" t="s">
        <v>55</v>
      </c>
      <c r="G220">
        <v>2</v>
      </c>
      <c r="H220">
        <v>25600</v>
      </c>
      <c r="I220">
        <v>51200</v>
      </c>
    </row>
    <row r="221" spans="1:9" x14ac:dyDescent="0.35">
      <c r="A221" t="s">
        <v>261</v>
      </c>
      <c r="B221" s="1">
        <v>46164</v>
      </c>
      <c r="C221" t="s">
        <v>15</v>
      </c>
      <c r="D221" t="s">
        <v>49</v>
      </c>
      <c r="E221" t="s">
        <v>12</v>
      </c>
      <c r="F221" t="s">
        <v>13</v>
      </c>
      <c r="G221">
        <v>8</v>
      </c>
      <c r="H221">
        <v>2100</v>
      </c>
      <c r="I221">
        <v>16800</v>
      </c>
    </row>
    <row r="222" spans="1:9" x14ac:dyDescent="0.35">
      <c r="A222" t="s">
        <v>262</v>
      </c>
      <c r="B222" s="1">
        <v>46153</v>
      </c>
      <c r="C222" t="s">
        <v>24</v>
      </c>
      <c r="D222" t="s">
        <v>11</v>
      </c>
      <c r="E222" t="s">
        <v>12</v>
      </c>
      <c r="F222" t="s">
        <v>13</v>
      </c>
      <c r="G222">
        <v>1</v>
      </c>
      <c r="H222">
        <v>2700</v>
      </c>
      <c r="I222">
        <v>2700</v>
      </c>
    </row>
    <row r="223" spans="1:9" x14ac:dyDescent="0.35">
      <c r="A223" t="s">
        <v>263</v>
      </c>
      <c r="B223" s="1">
        <v>46134</v>
      </c>
      <c r="C223" t="s">
        <v>10</v>
      </c>
      <c r="D223" t="s">
        <v>11</v>
      </c>
      <c r="E223" t="s">
        <v>26</v>
      </c>
      <c r="F223" t="s">
        <v>18</v>
      </c>
      <c r="G223">
        <v>6</v>
      </c>
      <c r="H223">
        <v>87900</v>
      </c>
      <c r="I223">
        <v>527400</v>
      </c>
    </row>
    <row r="224" spans="1:9" x14ac:dyDescent="0.35">
      <c r="A224" t="s">
        <v>264</v>
      </c>
      <c r="B224" s="1">
        <v>46126</v>
      </c>
      <c r="C224" t="s">
        <v>39</v>
      </c>
      <c r="D224" t="s">
        <v>74</v>
      </c>
      <c r="E224" t="s">
        <v>26</v>
      </c>
      <c r="F224" t="s">
        <v>18</v>
      </c>
      <c r="G224">
        <v>2</v>
      </c>
      <c r="H224">
        <v>89400</v>
      </c>
      <c r="I224">
        <v>178800</v>
      </c>
    </row>
    <row r="225" spans="1:9" x14ac:dyDescent="0.35">
      <c r="A225" t="s">
        <v>265</v>
      </c>
      <c r="B225" s="1">
        <v>46034</v>
      </c>
      <c r="C225" t="s">
        <v>44</v>
      </c>
      <c r="D225" t="s">
        <v>74</v>
      </c>
      <c r="E225" t="s">
        <v>54</v>
      </c>
      <c r="F225" t="s">
        <v>55</v>
      </c>
      <c r="G225">
        <v>7</v>
      </c>
      <c r="H225">
        <v>21100</v>
      </c>
      <c r="I225">
        <v>147700</v>
      </c>
    </row>
    <row r="226" spans="1:9" x14ac:dyDescent="0.35">
      <c r="A226" t="s">
        <v>266</v>
      </c>
      <c r="B226" s="1">
        <v>46199</v>
      </c>
      <c r="C226" t="s">
        <v>31</v>
      </c>
      <c r="D226" t="s">
        <v>25</v>
      </c>
      <c r="E226" t="s">
        <v>37</v>
      </c>
      <c r="F226" t="s">
        <v>18</v>
      </c>
      <c r="G226">
        <v>5</v>
      </c>
      <c r="H226">
        <v>54200</v>
      </c>
      <c r="I226">
        <v>271000</v>
      </c>
    </row>
    <row r="227" spans="1:9" x14ac:dyDescent="0.35">
      <c r="A227" t="s">
        <v>267</v>
      </c>
      <c r="B227" s="1">
        <v>46075</v>
      </c>
      <c r="C227" t="s">
        <v>34</v>
      </c>
      <c r="D227" t="s">
        <v>11</v>
      </c>
      <c r="E227" t="s">
        <v>37</v>
      </c>
      <c r="F227" t="s">
        <v>18</v>
      </c>
      <c r="G227">
        <v>6</v>
      </c>
      <c r="H227">
        <v>62200</v>
      </c>
      <c r="I227">
        <v>373200</v>
      </c>
    </row>
    <row r="228" spans="1:9" x14ac:dyDescent="0.35">
      <c r="A228" t="s">
        <v>268</v>
      </c>
      <c r="B228" s="1">
        <v>46121</v>
      </c>
      <c r="C228" t="s">
        <v>51</v>
      </c>
      <c r="D228" t="s">
        <v>74</v>
      </c>
      <c r="E228" t="s">
        <v>63</v>
      </c>
      <c r="F228" t="s">
        <v>55</v>
      </c>
      <c r="G228">
        <v>6</v>
      </c>
      <c r="H228">
        <v>30000</v>
      </c>
      <c r="I228">
        <v>180000</v>
      </c>
    </row>
    <row r="229" spans="1:9" x14ac:dyDescent="0.35">
      <c r="A229" t="s">
        <v>269</v>
      </c>
      <c r="B229" s="1">
        <v>46029</v>
      </c>
      <c r="C229" t="s">
        <v>24</v>
      </c>
      <c r="D229" t="s">
        <v>25</v>
      </c>
      <c r="E229" t="s">
        <v>12</v>
      </c>
      <c r="F229" t="s">
        <v>13</v>
      </c>
      <c r="G229">
        <v>4</v>
      </c>
      <c r="H229">
        <v>2500</v>
      </c>
      <c r="I229">
        <v>10000</v>
      </c>
    </row>
    <row r="230" spans="1:9" x14ac:dyDescent="0.35">
      <c r="A230" t="s">
        <v>270</v>
      </c>
      <c r="B230" s="1">
        <v>46168</v>
      </c>
      <c r="C230" t="s">
        <v>51</v>
      </c>
      <c r="D230" t="s">
        <v>49</v>
      </c>
      <c r="E230" t="s">
        <v>32</v>
      </c>
      <c r="F230" t="s">
        <v>13</v>
      </c>
      <c r="G230">
        <v>7</v>
      </c>
      <c r="H230">
        <v>5000</v>
      </c>
      <c r="I230">
        <v>35000</v>
      </c>
    </row>
    <row r="231" spans="1:9" x14ac:dyDescent="0.35">
      <c r="A231" t="s">
        <v>271</v>
      </c>
      <c r="B231" s="1">
        <v>46153</v>
      </c>
      <c r="C231" t="s">
        <v>24</v>
      </c>
      <c r="D231" t="s">
        <v>16</v>
      </c>
      <c r="E231" t="s">
        <v>63</v>
      </c>
      <c r="F231" t="s">
        <v>55</v>
      </c>
      <c r="G231">
        <v>6</v>
      </c>
      <c r="H231">
        <v>30100</v>
      </c>
      <c r="I231">
        <v>180600</v>
      </c>
    </row>
    <row r="232" spans="1:9" x14ac:dyDescent="0.35">
      <c r="A232" t="s">
        <v>272</v>
      </c>
      <c r="B232" s="1">
        <v>46149</v>
      </c>
      <c r="C232" t="s">
        <v>65</v>
      </c>
      <c r="D232" t="s">
        <v>49</v>
      </c>
      <c r="E232" t="s">
        <v>12</v>
      </c>
      <c r="F232" t="s">
        <v>13</v>
      </c>
      <c r="G232">
        <v>2</v>
      </c>
      <c r="H232">
        <v>2200</v>
      </c>
      <c r="I232">
        <v>4400</v>
      </c>
    </row>
    <row r="233" spans="1:9" x14ac:dyDescent="0.35">
      <c r="A233" t="s">
        <v>273</v>
      </c>
      <c r="B233" s="1">
        <v>46169</v>
      </c>
      <c r="C233" t="s">
        <v>51</v>
      </c>
      <c r="D233" t="s">
        <v>11</v>
      </c>
      <c r="E233" t="s">
        <v>26</v>
      </c>
      <c r="F233" t="s">
        <v>18</v>
      </c>
      <c r="G233">
        <v>8</v>
      </c>
      <c r="H233">
        <v>73500</v>
      </c>
      <c r="I233">
        <v>588000</v>
      </c>
    </row>
    <row r="234" spans="1:9" x14ac:dyDescent="0.35">
      <c r="A234" t="s">
        <v>274</v>
      </c>
      <c r="B234" s="1">
        <v>46138</v>
      </c>
      <c r="C234" t="s">
        <v>24</v>
      </c>
      <c r="D234" t="s">
        <v>49</v>
      </c>
      <c r="E234" t="s">
        <v>40</v>
      </c>
      <c r="F234" t="s">
        <v>13</v>
      </c>
      <c r="G234">
        <v>2</v>
      </c>
      <c r="H234">
        <v>6300</v>
      </c>
      <c r="I234">
        <v>12600</v>
      </c>
    </row>
    <row r="235" spans="1:9" x14ac:dyDescent="0.35">
      <c r="A235" t="s">
        <v>275</v>
      </c>
      <c r="B235" s="1">
        <v>46177</v>
      </c>
      <c r="C235" t="s">
        <v>20</v>
      </c>
      <c r="D235" t="s">
        <v>11</v>
      </c>
      <c r="E235" t="s">
        <v>61</v>
      </c>
      <c r="F235" t="s">
        <v>13</v>
      </c>
      <c r="G235">
        <v>3</v>
      </c>
      <c r="H235">
        <v>8000</v>
      </c>
      <c r="I235">
        <v>24000</v>
      </c>
    </row>
    <row r="236" spans="1:9" x14ac:dyDescent="0.35">
      <c r="A236" t="s">
        <v>276</v>
      </c>
      <c r="B236" s="1">
        <v>46123</v>
      </c>
      <c r="C236" t="s">
        <v>20</v>
      </c>
      <c r="D236" t="s">
        <v>11</v>
      </c>
      <c r="E236" t="s">
        <v>63</v>
      </c>
      <c r="F236" t="s">
        <v>55</v>
      </c>
      <c r="G236">
        <v>4</v>
      </c>
      <c r="H236">
        <v>29500</v>
      </c>
      <c r="I236">
        <v>118000</v>
      </c>
    </row>
    <row r="237" spans="1:9" x14ac:dyDescent="0.35">
      <c r="A237" t="s">
        <v>277</v>
      </c>
      <c r="B237" s="1">
        <v>46065</v>
      </c>
      <c r="C237" t="s">
        <v>20</v>
      </c>
      <c r="D237" t="s">
        <v>16</v>
      </c>
      <c r="E237" t="s">
        <v>32</v>
      </c>
      <c r="F237" t="s">
        <v>13</v>
      </c>
      <c r="G237">
        <v>2</v>
      </c>
      <c r="H237">
        <v>4000</v>
      </c>
      <c r="I237">
        <v>8000</v>
      </c>
    </row>
    <row r="238" spans="1:9" x14ac:dyDescent="0.35">
      <c r="A238" t="s">
        <v>278</v>
      </c>
      <c r="B238" s="1">
        <v>46107</v>
      </c>
      <c r="C238" t="s">
        <v>29</v>
      </c>
      <c r="D238" t="s">
        <v>74</v>
      </c>
      <c r="E238" t="s">
        <v>12</v>
      </c>
      <c r="F238" t="s">
        <v>13</v>
      </c>
      <c r="G238">
        <v>2</v>
      </c>
      <c r="H238">
        <v>2800</v>
      </c>
      <c r="I238">
        <v>5600</v>
      </c>
    </row>
    <row r="239" spans="1:9" x14ac:dyDescent="0.35">
      <c r="A239" t="s">
        <v>279</v>
      </c>
      <c r="B239" s="1">
        <v>46173</v>
      </c>
      <c r="C239" t="s">
        <v>24</v>
      </c>
      <c r="D239" t="s">
        <v>25</v>
      </c>
      <c r="E239" t="s">
        <v>12</v>
      </c>
      <c r="F239" t="s">
        <v>13</v>
      </c>
      <c r="G239">
        <v>2</v>
      </c>
      <c r="H239">
        <v>2400</v>
      </c>
      <c r="I239">
        <v>4800</v>
      </c>
    </row>
    <row r="240" spans="1:9" x14ac:dyDescent="0.35">
      <c r="A240" t="s">
        <v>280</v>
      </c>
      <c r="B240" s="1">
        <v>46167</v>
      </c>
      <c r="C240" t="s">
        <v>34</v>
      </c>
      <c r="D240" t="s">
        <v>16</v>
      </c>
      <c r="E240" t="s">
        <v>26</v>
      </c>
      <c r="F240" t="s">
        <v>18</v>
      </c>
      <c r="G240">
        <v>3</v>
      </c>
      <c r="H240">
        <v>94400</v>
      </c>
      <c r="I240">
        <v>283200</v>
      </c>
    </row>
    <row r="241" spans="1:9" x14ac:dyDescent="0.35">
      <c r="A241" t="s">
        <v>281</v>
      </c>
      <c r="B241" s="1">
        <v>46035</v>
      </c>
      <c r="C241" t="s">
        <v>51</v>
      </c>
      <c r="D241" t="s">
        <v>16</v>
      </c>
      <c r="E241" t="s">
        <v>54</v>
      </c>
      <c r="F241" t="s">
        <v>55</v>
      </c>
      <c r="G241">
        <v>5</v>
      </c>
      <c r="H241">
        <v>23300</v>
      </c>
      <c r="I241">
        <v>116500</v>
      </c>
    </row>
    <row r="242" spans="1:9" x14ac:dyDescent="0.35">
      <c r="A242" t="s">
        <v>282</v>
      </c>
      <c r="B242" s="1">
        <v>46088</v>
      </c>
      <c r="C242" t="s">
        <v>20</v>
      </c>
      <c r="D242" t="s">
        <v>49</v>
      </c>
      <c r="E242" t="s">
        <v>54</v>
      </c>
      <c r="F242" t="s">
        <v>55</v>
      </c>
      <c r="G242">
        <v>5</v>
      </c>
      <c r="H242">
        <v>24200</v>
      </c>
      <c r="I242">
        <v>121000</v>
      </c>
    </row>
    <row r="243" spans="1:9" x14ac:dyDescent="0.35">
      <c r="A243" t="s">
        <v>283</v>
      </c>
      <c r="B243" s="1">
        <v>46058</v>
      </c>
      <c r="C243" t="s">
        <v>65</v>
      </c>
      <c r="D243" t="s">
        <v>25</v>
      </c>
      <c r="E243" t="s">
        <v>63</v>
      </c>
      <c r="F243" t="s">
        <v>55</v>
      </c>
      <c r="G243">
        <v>7</v>
      </c>
      <c r="H243">
        <v>27000</v>
      </c>
      <c r="I243">
        <v>189000</v>
      </c>
    </row>
    <row r="244" spans="1:9" x14ac:dyDescent="0.35">
      <c r="A244" t="s">
        <v>284</v>
      </c>
      <c r="B244" s="1">
        <v>46173</v>
      </c>
      <c r="C244" t="s">
        <v>10</v>
      </c>
      <c r="D244" t="s">
        <v>36</v>
      </c>
      <c r="E244" t="s">
        <v>54</v>
      </c>
      <c r="F244" t="s">
        <v>55</v>
      </c>
      <c r="G244">
        <v>7</v>
      </c>
      <c r="H244">
        <v>20200</v>
      </c>
      <c r="I244">
        <v>141400</v>
      </c>
    </row>
    <row r="245" spans="1:9" x14ac:dyDescent="0.35">
      <c r="A245" t="s">
        <v>285</v>
      </c>
      <c r="B245" s="1">
        <v>46083</v>
      </c>
      <c r="C245" t="s">
        <v>39</v>
      </c>
      <c r="D245" t="s">
        <v>36</v>
      </c>
      <c r="E245" t="s">
        <v>21</v>
      </c>
      <c r="F245" t="s">
        <v>22</v>
      </c>
      <c r="G245">
        <v>4</v>
      </c>
      <c r="H245">
        <v>27500</v>
      </c>
      <c r="I245">
        <v>110000</v>
      </c>
    </row>
    <row r="246" spans="1:9" x14ac:dyDescent="0.35">
      <c r="A246" t="s">
        <v>286</v>
      </c>
      <c r="B246" s="1">
        <v>46042</v>
      </c>
      <c r="C246" t="s">
        <v>34</v>
      </c>
      <c r="D246" t="s">
        <v>36</v>
      </c>
      <c r="E246" t="s">
        <v>54</v>
      </c>
      <c r="F246" t="s">
        <v>55</v>
      </c>
      <c r="G246">
        <v>1</v>
      </c>
      <c r="H246">
        <v>24200</v>
      </c>
      <c r="I246">
        <v>24200</v>
      </c>
    </row>
    <row r="247" spans="1:9" x14ac:dyDescent="0.35">
      <c r="A247" t="s">
        <v>287</v>
      </c>
      <c r="B247" s="1">
        <v>46123</v>
      </c>
      <c r="C247" t="s">
        <v>44</v>
      </c>
      <c r="D247" t="s">
        <v>11</v>
      </c>
      <c r="E247" t="s">
        <v>40</v>
      </c>
      <c r="F247" t="s">
        <v>13</v>
      </c>
      <c r="G247">
        <v>6</v>
      </c>
      <c r="H247">
        <v>7300</v>
      </c>
      <c r="I247">
        <v>43800</v>
      </c>
    </row>
    <row r="248" spans="1:9" x14ac:dyDescent="0.35">
      <c r="A248" t="s">
        <v>288</v>
      </c>
      <c r="B248" s="1">
        <v>46158</v>
      </c>
      <c r="C248" t="s">
        <v>10</v>
      </c>
      <c r="D248" t="s">
        <v>49</v>
      </c>
      <c r="E248" t="s">
        <v>26</v>
      </c>
      <c r="F248" t="s">
        <v>18</v>
      </c>
      <c r="G248">
        <v>1</v>
      </c>
      <c r="H248">
        <v>78600</v>
      </c>
      <c r="I248">
        <v>78600</v>
      </c>
    </row>
    <row r="249" spans="1:9" x14ac:dyDescent="0.35">
      <c r="A249" t="s">
        <v>289</v>
      </c>
      <c r="B249" s="1">
        <v>46178</v>
      </c>
      <c r="C249" t="s">
        <v>44</v>
      </c>
      <c r="D249" t="s">
        <v>11</v>
      </c>
      <c r="E249" t="s">
        <v>40</v>
      </c>
      <c r="F249" t="s">
        <v>13</v>
      </c>
      <c r="G249">
        <v>6</v>
      </c>
      <c r="H249">
        <v>5900</v>
      </c>
      <c r="I249">
        <v>35400</v>
      </c>
    </row>
    <row r="250" spans="1:9" x14ac:dyDescent="0.35">
      <c r="A250" t="s">
        <v>290</v>
      </c>
      <c r="B250" s="1">
        <v>46082</v>
      </c>
      <c r="C250" t="s">
        <v>46</v>
      </c>
      <c r="D250" t="s">
        <v>36</v>
      </c>
      <c r="E250" t="s">
        <v>54</v>
      </c>
      <c r="F250" t="s">
        <v>55</v>
      </c>
      <c r="G250">
        <v>6</v>
      </c>
      <c r="H250">
        <v>23800</v>
      </c>
      <c r="I250">
        <v>142800</v>
      </c>
    </row>
    <row r="251" spans="1:9" x14ac:dyDescent="0.35">
      <c r="A251" t="s">
        <v>291</v>
      </c>
      <c r="B251" s="1">
        <v>46099</v>
      </c>
      <c r="C251" t="s">
        <v>24</v>
      </c>
      <c r="D251" t="s">
        <v>49</v>
      </c>
      <c r="E251" t="s">
        <v>21</v>
      </c>
      <c r="F251" t="s">
        <v>22</v>
      </c>
      <c r="G251">
        <v>2</v>
      </c>
      <c r="H251">
        <v>29800</v>
      </c>
      <c r="I251">
        <v>59600</v>
      </c>
    </row>
    <row r="252" spans="1:9" x14ac:dyDescent="0.35">
      <c r="A252" t="s">
        <v>292</v>
      </c>
      <c r="B252" s="1">
        <v>46083</v>
      </c>
      <c r="C252" t="s">
        <v>34</v>
      </c>
      <c r="D252" t="s">
        <v>49</v>
      </c>
      <c r="E252" t="s">
        <v>21</v>
      </c>
      <c r="F252" t="s">
        <v>22</v>
      </c>
      <c r="G252">
        <v>2</v>
      </c>
      <c r="H252">
        <v>30700</v>
      </c>
      <c r="I252">
        <v>61400</v>
      </c>
    </row>
    <row r="253" spans="1:9" x14ac:dyDescent="0.35">
      <c r="A253" t="s">
        <v>293</v>
      </c>
      <c r="B253" s="1">
        <v>46095</v>
      </c>
      <c r="C253" t="s">
        <v>39</v>
      </c>
      <c r="D253" t="s">
        <v>74</v>
      </c>
      <c r="E253" t="s">
        <v>12</v>
      </c>
      <c r="F253" t="s">
        <v>13</v>
      </c>
      <c r="G253">
        <v>8</v>
      </c>
      <c r="H253">
        <v>2300</v>
      </c>
      <c r="I253">
        <v>18400</v>
      </c>
    </row>
    <row r="254" spans="1:9" x14ac:dyDescent="0.35">
      <c r="A254" t="s">
        <v>294</v>
      </c>
      <c r="B254" s="1">
        <v>46077</v>
      </c>
      <c r="C254" t="s">
        <v>24</v>
      </c>
      <c r="D254" t="s">
        <v>16</v>
      </c>
      <c r="E254" t="s">
        <v>61</v>
      </c>
      <c r="F254" t="s">
        <v>13</v>
      </c>
      <c r="G254">
        <v>8</v>
      </c>
      <c r="H254">
        <v>7900</v>
      </c>
      <c r="I254">
        <v>63200</v>
      </c>
    </row>
    <row r="255" spans="1:9" x14ac:dyDescent="0.35">
      <c r="A255" t="s">
        <v>295</v>
      </c>
      <c r="B255" s="1">
        <v>46184</v>
      </c>
      <c r="C255" t="s">
        <v>10</v>
      </c>
      <c r="D255" t="s">
        <v>49</v>
      </c>
      <c r="E255" t="s">
        <v>61</v>
      </c>
      <c r="F255" t="s">
        <v>13</v>
      </c>
      <c r="G255">
        <v>2</v>
      </c>
      <c r="H255">
        <v>7900</v>
      </c>
      <c r="I255">
        <v>15800</v>
      </c>
    </row>
    <row r="256" spans="1:9" x14ac:dyDescent="0.35">
      <c r="A256" t="s">
        <v>296</v>
      </c>
      <c r="B256" s="1">
        <v>46157</v>
      </c>
      <c r="C256" t="s">
        <v>65</v>
      </c>
      <c r="D256" t="s">
        <v>25</v>
      </c>
      <c r="E256" t="s">
        <v>63</v>
      </c>
      <c r="F256" t="s">
        <v>55</v>
      </c>
      <c r="G256">
        <v>4</v>
      </c>
      <c r="H256">
        <v>30600</v>
      </c>
      <c r="I256">
        <v>122400</v>
      </c>
    </row>
    <row r="257" spans="1:9" x14ac:dyDescent="0.35">
      <c r="A257" t="s">
        <v>297</v>
      </c>
      <c r="B257" s="1">
        <v>46203</v>
      </c>
      <c r="C257" t="s">
        <v>31</v>
      </c>
      <c r="D257" t="s">
        <v>25</v>
      </c>
      <c r="E257" t="s">
        <v>26</v>
      </c>
      <c r="F257" t="s">
        <v>18</v>
      </c>
      <c r="G257">
        <v>8</v>
      </c>
      <c r="H257">
        <v>87500</v>
      </c>
      <c r="I257">
        <v>700000</v>
      </c>
    </row>
    <row r="258" spans="1:9" x14ac:dyDescent="0.35">
      <c r="A258" t="s">
        <v>298</v>
      </c>
      <c r="B258" s="1">
        <v>46077</v>
      </c>
      <c r="C258" t="s">
        <v>51</v>
      </c>
      <c r="D258" t="s">
        <v>11</v>
      </c>
      <c r="E258" t="s">
        <v>37</v>
      </c>
      <c r="F258" t="s">
        <v>18</v>
      </c>
      <c r="G258">
        <v>2</v>
      </c>
      <c r="H258">
        <v>49900</v>
      </c>
      <c r="I258">
        <v>99800</v>
      </c>
    </row>
    <row r="259" spans="1:9" x14ac:dyDescent="0.35">
      <c r="A259" t="s">
        <v>299</v>
      </c>
      <c r="B259" s="1">
        <v>46166</v>
      </c>
      <c r="C259" t="s">
        <v>24</v>
      </c>
      <c r="D259" t="s">
        <v>49</v>
      </c>
      <c r="E259" t="s">
        <v>21</v>
      </c>
      <c r="F259" t="s">
        <v>22</v>
      </c>
      <c r="G259">
        <v>5</v>
      </c>
      <c r="H259">
        <v>26800</v>
      </c>
      <c r="I259">
        <v>134000</v>
      </c>
    </row>
    <row r="260" spans="1:9" x14ac:dyDescent="0.35">
      <c r="A260" t="s">
        <v>300</v>
      </c>
      <c r="B260" s="1">
        <v>46033</v>
      </c>
      <c r="C260" t="s">
        <v>15</v>
      </c>
      <c r="D260" t="s">
        <v>11</v>
      </c>
      <c r="E260" t="s">
        <v>37</v>
      </c>
      <c r="F260" t="s">
        <v>18</v>
      </c>
      <c r="G260">
        <v>4</v>
      </c>
      <c r="H260">
        <v>46900</v>
      </c>
      <c r="I260">
        <v>187600</v>
      </c>
    </row>
    <row r="261" spans="1:9" x14ac:dyDescent="0.35">
      <c r="A261" t="s">
        <v>301</v>
      </c>
      <c r="B261" s="1">
        <v>46027</v>
      </c>
      <c r="C261" t="s">
        <v>31</v>
      </c>
      <c r="D261" t="s">
        <v>74</v>
      </c>
      <c r="E261" t="s">
        <v>63</v>
      </c>
      <c r="F261" t="s">
        <v>55</v>
      </c>
      <c r="G261">
        <v>8</v>
      </c>
      <c r="H261">
        <v>31400</v>
      </c>
      <c r="I261">
        <v>251200</v>
      </c>
    </row>
    <row r="262" spans="1:9" x14ac:dyDescent="0.35">
      <c r="A262" t="s">
        <v>302</v>
      </c>
      <c r="B262" s="1">
        <v>46114</v>
      </c>
      <c r="C262" t="s">
        <v>39</v>
      </c>
      <c r="D262" t="s">
        <v>74</v>
      </c>
      <c r="E262" t="s">
        <v>17</v>
      </c>
      <c r="F262" t="s">
        <v>18</v>
      </c>
      <c r="G262">
        <v>2</v>
      </c>
      <c r="H262">
        <v>33700</v>
      </c>
      <c r="I262">
        <v>67400</v>
      </c>
    </row>
    <row r="263" spans="1:9" x14ac:dyDescent="0.35">
      <c r="A263" t="s">
        <v>303</v>
      </c>
      <c r="B263" s="1">
        <v>46028</v>
      </c>
      <c r="C263" t="s">
        <v>10</v>
      </c>
      <c r="D263" t="s">
        <v>16</v>
      </c>
      <c r="E263" t="s">
        <v>32</v>
      </c>
      <c r="F263" t="s">
        <v>13</v>
      </c>
      <c r="G263">
        <v>4</v>
      </c>
      <c r="H263">
        <v>5000</v>
      </c>
      <c r="I263">
        <v>20000</v>
      </c>
    </row>
    <row r="264" spans="1:9" x14ac:dyDescent="0.35">
      <c r="A264" t="s">
        <v>304</v>
      </c>
      <c r="B264" s="1">
        <v>46124</v>
      </c>
      <c r="C264" t="s">
        <v>39</v>
      </c>
      <c r="D264" t="s">
        <v>74</v>
      </c>
      <c r="E264" t="s">
        <v>32</v>
      </c>
      <c r="F264" t="s">
        <v>13</v>
      </c>
      <c r="G264">
        <v>5</v>
      </c>
      <c r="H264">
        <v>3800</v>
      </c>
      <c r="I264">
        <v>19000</v>
      </c>
    </row>
    <row r="265" spans="1:9" x14ac:dyDescent="0.35">
      <c r="A265" t="s">
        <v>305</v>
      </c>
      <c r="B265" s="1">
        <v>46130</v>
      </c>
      <c r="C265" t="s">
        <v>51</v>
      </c>
      <c r="D265" t="s">
        <v>74</v>
      </c>
      <c r="E265" t="s">
        <v>37</v>
      </c>
      <c r="F265" t="s">
        <v>18</v>
      </c>
      <c r="G265">
        <v>1</v>
      </c>
      <c r="H265">
        <v>50200</v>
      </c>
      <c r="I265">
        <v>50200</v>
      </c>
    </row>
    <row r="266" spans="1:9" x14ac:dyDescent="0.35">
      <c r="A266" t="s">
        <v>306</v>
      </c>
      <c r="B266" s="1">
        <v>46153</v>
      </c>
      <c r="C266" t="s">
        <v>39</v>
      </c>
      <c r="D266" t="s">
        <v>36</v>
      </c>
      <c r="E266" t="s">
        <v>40</v>
      </c>
      <c r="F266" t="s">
        <v>13</v>
      </c>
      <c r="G266">
        <v>2</v>
      </c>
      <c r="H266">
        <v>6500</v>
      </c>
      <c r="I266">
        <v>13000</v>
      </c>
    </row>
    <row r="267" spans="1:9" x14ac:dyDescent="0.35">
      <c r="A267" t="s">
        <v>307</v>
      </c>
      <c r="B267" s="1">
        <v>46128</v>
      </c>
      <c r="C267" t="s">
        <v>24</v>
      </c>
      <c r="D267" t="s">
        <v>74</v>
      </c>
      <c r="E267" t="s">
        <v>32</v>
      </c>
      <c r="F267" t="s">
        <v>13</v>
      </c>
      <c r="G267">
        <v>7</v>
      </c>
      <c r="H267">
        <v>4800</v>
      </c>
      <c r="I267">
        <v>33600</v>
      </c>
    </row>
    <row r="268" spans="1:9" x14ac:dyDescent="0.35">
      <c r="A268" t="s">
        <v>308</v>
      </c>
      <c r="B268" s="1">
        <v>46202</v>
      </c>
      <c r="C268" t="s">
        <v>24</v>
      </c>
      <c r="D268" t="s">
        <v>36</v>
      </c>
      <c r="E268" t="s">
        <v>26</v>
      </c>
      <c r="F268" t="s">
        <v>18</v>
      </c>
      <c r="G268">
        <v>6</v>
      </c>
      <c r="H268">
        <v>88700</v>
      </c>
      <c r="I268">
        <v>532200</v>
      </c>
    </row>
    <row r="269" spans="1:9" x14ac:dyDescent="0.35">
      <c r="A269" t="s">
        <v>309</v>
      </c>
      <c r="B269" s="1">
        <v>46119</v>
      </c>
      <c r="C269" t="s">
        <v>34</v>
      </c>
      <c r="D269" t="s">
        <v>49</v>
      </c>
      <c r="E269" t="s">
        <v>32</v>
      </c>
      <c r="F269" t="s">
        <v>13</v>
      </c>
      <c r="G269">
        <v>2</v>
      </c>
      <c r="H269">
        <v>4200</v>
      </c>
      <c r="I269">
        <v>8400</v>
      </c>
    </row>
    <row r="270" spans="1:9" x14ac:dyDescent="0.35">
      <c r="A270" t="s">
        <v>310</v>
      </c>
      <c r="B270" s="1">
        <v>46055</v>
      </c>
      <c r="C270" t="s">
        <v>29</v>
      </c>
      <c r="D270" t="s">
        <v>16</v>
      </c>
      <c r="E270" t="s">
        <v>63</v>
      </c>
      <c r="F270" t="s">
        <v>55</v>
      </c>
      <c r="G270">
        <v>3</v>
      </c>
      <c r="H270">
        <v>32100</v>
      </c>
      <c r="I270">
        <v>96300</v>
      </c>
    </row>
    <row r="271" spans="1:9" x14ac:dyDescent="0.35">
      <c r="A271" t="s">
        <v>311</v>
      </c>
      <c r="B271" s="1">
        <v>46186</v>
      </c>
      <c r="C271" t="s">
        <v>51</v>
      </c>
      <c r="D271" t="s">
        <v>16</v>
      </c>
      <c r="E271" t="s">
        <v>12</v>
      </c>
      <c r="F271" t="s">
        <v>13</v>
      </c>
      <c r="G271">
        <v>3</v>
      </c>
      <c r="H271">
        <v>2600</v>
      </c>
      <c r="I271">
        <v>7800</v>
      </c>
    </row>
    <row r="272" spans="1:9" x14ac:dyDescent="0.35">
      <c r="A272" t="s">
        <v>312</v>
      </c>
      <c r="B272" s="1">
        <v>46056</v>
      </c>
      <c r="C272" t="s">
        <v>65</v>
      </c>
      <c r="D272" t="s">
        <v>11</v>
      </c>
      <c r="E272" t="s">
        <v>12</v>
      </c>
      <c r="F272" t="s">
        <v>13</v>
      </c>
      <c r="G272">
        <v>4</v>
      </c>
      <c r="H272">
        <v>2700</v>
      </c>
      <c r="I272">
        <v>10800</v>
      </c>
    </row>
    <row r="273" spans="1:9" x14ac:dyDescent="0.35">
      <c r="A273" t="s">
        <v>313</v>
      </c>
      <c r="B273" s="1">
        <v>46059</v>
      </c>
      <c r="C273" t="s">
        <v>34</v>
      </c>
      <c r="D273" t="s">
        <v>74</v>
      </c>
      <c r="E273" t="s">
        <v>63</v>
      </c>
      <c r="F273" t="s">
        <v>55</v>
      </c>
      <c r="G273">
        <v>6</v>
      </c>
      <c r="H273">
        <v>27600</v>
      </c>
      <c r="I273">
        <v>165600</v>
      </c>
    </row>
    <row r="274" spans="1:9" x14ac:dyDescent="0.35">
      <c r="A274" t="s">
        <v>314</v>
      </c>
      <c r="B274" s="1">
        <v>46070</v>
      </c>
      <c r="C274" t="s">
        <v>31</v>
      </c>
      <c r="D274" t="s">
        <v>25</v>
      </c>
      <c r="E274" t="s">
        <v>21</v>
      </c>
      <c r="F274" t="s">
        <v>22</v>
      </c>
      <c r="G274">
        <v>8</v>
      </c>
      <c r="H274">
        <v>27300</v>
      </c>
      <c r="I274">
        <v>218400</v>
      </c>
    </row>
    <row r="275" spans="1:9" x14ac:dyDescent="0.35">
      <c r="A275" t="s">
        <v>315</v>
      </c>
      <c r="B275" s="1">
        <v>46138</v>
      </c>
      <c r="C275" t="s">
        <v>65</v>
      </c>
      <c r="D275" t="s">
        <v>16</v>
      </c>
      <c r="E275" t="s">
        <v>12</v>
      </c>
      <c r="F275" t="s">
        <v>13</v>
      </c>
      <c r="G275">
        <v>2</v>
      </c>
      <c r="H275">
        <v>2300</v>
      </c>
      <c r="I275">
        <v>4600</v>
      </c>
    </row>
    <row r="276" spans="1:9" x14ac:dyDescent="0.35">
      <c r="A276" t="s">
        <v>316</v>
      </c>
      <c r="B276" s="1">
        <v>46187</v>
      </c>
      <c r="C276" t="s">
        <v>44</v>
      </c>
      <c r="D276" t="s">
        <v>16</v>
      </c>
      <c r="E276" t="s">
        <v>40</v>
      </c>
      <c r="F276" t="s">
        <v>13</v>
      </c>
      <c r="G276">
        <v>8</v>
      </c>
      <c r="H276">
        <v>7400</v>
      </c>
      <c r="I276">
        <v>59200</v>
      </c>
    </row>
    <row r="277" spans="1:9" x14ac:dyDescent="0.35">
      <c r="A277" t="s">
        <v>317</v>
      </c>
      <c r="B277" s="1">
        <v>46088</v>
      </c>
      <c r="C277" t="s">
        <v>65</v>
      </c>
      <c r="D277" t="s">
        <v>25</v>
      </c>
      <c r="E277" t="s">
        <v>32</v>
      </c>
      <c r="F277" t="s">
        <v>13</v>
      </c>
      <c r="G277">
        <v>4</v>
      </c>
      <c r="H277">
        <v>4000</v>
      </c>
      <c r="I277">
        <v>16000</v>
      </c>
    </row>
    <row r="278" spans="1:9" x14ac:dyDescent="0.35">
      <c r="A278" t="s">
        <v>318</v>
      </c>
      <c r="B278" s="1">
        <v>46035</v>
      </c>
      <c r="C278" t="s">
        <v>31</v>
      </c>
      <c r="D278" t="s">
        <v>49</v>
      </c>
      <c r="E278" t="s">
        <v>12</v>
      </c>
      <c r="F278" t="s">
        <v>13</v>
      </c>
      <c r="G278">
        <v>4</v>
      </c>
      <c r="H278">
        <v>2600</v>
      </c>
      <c r="I278">
        <v>10400</v>
      </c>
    </row>
    <row r="279" spans="1:9" x14ac:dyDescent="0.35">
      <c r="A279" t="s">
        <v>319</v>
      </c>
      <c r="B279" s="1">
        <v>46139</v>
      </c>
      <c r="C279" t="s">
        <v>34</v>
      </c>
      <c r="D279" t="s">
        <v>49</v>
      </c>
      <c r="E279" t="s">
        <v>12</v>
      </c>
      <c r="F279" t="s">
        <v>13</v>
      </c>
      <c r="G279">
        <v>2</v>
      </c>
      <c r="H279">
        <v>2400</v>
      </c>
      <c r="I279">
        <v>4800</v>
      </c>
    </row>
    <row r="280" spans="1:9" x14ac:dyDescent="0.35">
      <c r="A280" t="s">
        <v>320</v>
      </c>
      <c r="B280" s="1">
        <v>46118</v>
      </c>
      <c r="C280" t="s">
        <v>29</v>
      </c>
      <c r="D280" t="s">
        <v>11</v>
      </c>
      <c r="E280" t="s">
        <v>40</v>
      </c>
      <c r="F280" t="s">
        <v>13</v>
      </c>
      <c r="G280">
        <v>7</v>
      </c>
      <c r="H280">
        <v>7100</v>
      </c>
      <c r="I280">
        <v>49700</v>
      </c>
    </row>
    <row r="281" spans="1:9" x14ac:dyDescent="0.35">
      <c r="A281" t="s">
        <v>321</v>
      </c>
      <c r="B281" s="1">
        <v>46067</v>
      </c>
      <c r="C281" t="s">
        <v>44</v>
      </c>
      <c r="D281" t="s">
        <v>74</v>
      </c>
      <c r="E281" t="s">
        <v>32</v>
      </c>
      <c r="F281" t="s">
        <v>13</v>
      </c>
      <c r="G281">
        <v>2</v>
      </c>
      <c r="H281">
        <v>4100</v>
      </c>
      <c r="I281">
        <v>8200</v>
      </c>
    </row>
    <row r="282" spans="1:9" x14ac:dyDescent="0.35">
      <c r="A282" t="s">
        <v>322</v>
      </c>
      <c r="B282" s="1">
        <v>46178</v>
      </c>
      <c r="C282" t="s">
        <v>34</v>
      </c>
      <c r="D282" t="s">
        <v>49</v>
      </c>
      <c r="E282" t="s">
        <v>12</v>
      </c>
      <c r="F282" t="s">
        <v>13</v>
      </c>
      <c r="G282">
        <v>7</v>
      </c>
      <c r="H282">
        <v>2700</v>
      </c>
      <c r="I282">
        <v>18900</v>
      </c>
    </row>
    <row r="283" spans="1:9" x14ac:dyDescent="0.35">
      <c r="A283" t="s">
        <v>323</v>
      </c>
      <c r="B283" s="1">
        <v>46069</v>
      </c>
      <c r="C283" t="s">
        <v>65</v>
      </c>
      <c r="D283" t="s">
        <v>49</v>
      </c>
      <c r="E283" t="s">
        <v>37</v>
      </c>
      <c r="F283" t="s">
        <v>18</v>
      </c>
      <c r="G283">
        <v>2</v>
      </c>
      <c r="H283">
        <v>55700</v>
      </c>
      <c r="I283">
        <v>111400</v>
      </c>
    </row>
    <row r="284" spans="1:9" x14ac:dyDescent="0.35">
      <c r="A284" t="s">
        <v>324</v>
      </c>
      <c r="B284" s="1">
        <v>46160</v>
      </c>
      <c r="C284" t="s">
        <v>15</v>
      </c>
      <c r="D284" t="s">
        <v>11</v>
      </c>
      <c r="E284" t="s">
        <v>26</v>
      </c>
      <c r="F284" t="s">
        <v>18</v>
      </c>
      <c r="G284">
        <v>6</v>
      </c>
      <c r="H284">
        <v>90100</v>
      </c>
      <c r="I284">
        <v>540600</v>
      </c>
    </row>
    <row r="285" spans="1:9" x14ac:dyDescent="0.35">
      <c r="A285" t="s">
        <v>325</v>
      </c>
      <c r="B285" s="1">
        <v>46049</v>
      </c>
      <c r="C285" t="s">
        <v>29</v>
      </c>
      <c r="D285" t="s">
        <v>49</v>
      </c>
      <c r="E285" t="s">
        <v>26</v>
      </c>
      <c r="F285" t="s">
        <v>18</v>
      </c>
      <c r="G285">
        <v>6</v>
      </c>
      <c r="H285">
        <v>78900</v>
      </c>
      <c r="I285">
        <v>473400</v>
      </c>
    </row>
    <row r="286" spans="1:9" x14ac:dyDescent="0.35">
      <c r="A286" t="s">
        <v>326</v>
      </c>
      <c r="B286" s="1">
        <v>46124</v>
      </c>
      <c r="C286" t="s">
        <v>15</v>
      </c>
      <c r="D286" t="s">
        <v>36</v>
      </c>
      <c r="E286" t="s">
        <v>54</v>
      </c>
      <c r="F286" t="s">
        <v>55</v>
      </c>
      <c r="G286">
        <v>5</v>
      </c>
      <c r="H286">
        <v>19000</v>
      </c>
      <c r="I286">
        <v>95000</v>
      </c>
    </row>
    <row r="287" spans="1:9" x14ac:dyDescent="0.35">
      <c r="A287" t="s">
        <v>327</v>
      </c>
      <c r="B287" s="1">
        <v>46027</v>
      </c>
      <c r="C287" t="s">
        <v>39</v>
      </c>
      <c r="D287" t="s">
        <v>36</v>
      </c>
      <c r="E287" t="s">
        <v>37</v>
      </c>
      <c r="F287" t="s">
        <v>18</v>
      </c>
      <c r="G287">
        <v>6</v>
      </c>
      <c r="H287">
        <v>50900</v>
      </c>
      <c r="I287">
        <v>305400</v>
      </c>
    </row>
    <row r="288" spans="1:9" x14ac:dyDescent="0.35">
      <c r="A288" t="s">
        <v>328</v>
      </c>
      <c r="B288" s="1">
        <v>46114</v>
      </c>
      <c r="C288" t="s">
        <v>65</v>
      </c>
      <c r="D288" t="s">
        <v>74</v>
      </c>
      <c r="E288" t="s">
        <v>17</v>
      </c>
      <c r="F288" t="s">
        <v>18</v>
      </c>
      <c r="G288">
        <v>1</v>
      </c>
      <c r="H288">
        <v>31100</v>
      </c>
      <c r="I288">
        <v>31100</v>
      </c>
    </row>
    <row r="289" spans="1:9" x14ac:dyDescent="0.35">
      <c r="A289" t="s">
        <v>329</v>
      </c>
      <c r="B289" s="1">
        <v>46119</v>
      </c>
      <c r="C289" t="s">
        <v>51</v>
      </c>
      <c r="D289" t="s">
        <v>25</v>
      </c>
      <c r="E289" t="s">
        <v>54</v>
      </c>
      <c r="F289" t="s">
        <v>55</v>
      </c>
      <c r="G289">
        <v>4</v>
      </c>
      <c r="H289">
        <v>22300</v>
      </c>
      <c r="I289">
        <v>89200</v>
      </c>
    </row>
    <row r="290" spans="1:9" x14ac:dyDescent="0.35">
      <c r="A290" t="s">
        <v>330</v>
      </c>
      <c r="B290" s="1">
        <v>46103</v>
      </c>
      <c r="C290" t="s">
        <v>46</v>
      </c>
      <c r="D290" t="s">
        <v>16</v>
      </c>
      <c r="E290" t="s">
        <v>21</v>
      </c>
      <c r="F290" t="s">
        <v>22</v>
      </c>
      <c r="G290">
        <v>8</v>
      </c>
      <c r="H290">
        <v>28200</v>
      </c>
      <c r="I290">
        <v>225600</v>
      </c>
    </row>
    <row r="291" spans="1:9" x14ac:dyDescent="0.35">
      <c r="A291" t="s">
        <v>331</v>
      </c>
      <c r="B291" s="1">
        <v>46134</v>
      </c>
      <c r="C291" t="s">
        <v>65</v>
      </c>
      <c r="D291" t="s">
        <v>36</v>
      </c>
      <c r="E291" t="s">
        <v>17</v>
      </c>
      <c r="F291" t="s">
        <v>18</v>
      </c>
      <c r="G291">
        <v>6</v>
      </c>
      <c r="H291">
        <v>30300</v>
      </c>
      <c r="I291">
        <v>181800</v>
      </c>
    </row>
    <row r="292" spans="1:9" x14ac:dyDescent="0.35">
      <c r="A292" t="s">
        <v>332</v>
      </c>
      <c r="B292" s="1">
        <v>46146</v>
      </c>
      <c r="C292" t="s">
        <v>65</v>
      </c>
      <c r="D292" t="s">
        <v>36</v>
      </c>
      <c r="E292" t="s">
        <v>54</v>
      </c>
      <c r="F292" t="s">
        <v>55</v>
      </c>
      <c r="G292">
        <v>4</v>
      </c>
      <c r="H292">
        <v>19700</v>
      </c>
      <c r="I292">
        <v>78800</v>
      </c>
    </row>
    <row r="293" spans="1:9" x14ac:dyDescent="0.35">
      <c r="A293" t="s">
        <v>333</v>
      </c>
      <c r="B293" s="1">
        <v>46053</v>
      </c>
      <c r="C293" t="s">
        <v>29</v>
      </c>
      <c r="D293" t="s">
        <v>11</v>
      </c>
      <c r="E293" t="s">
        <v>21</v>
      </c>
      <c r="F293" t="s">
        <v>22</v>
      </c>
      <c r="G293">
        <v>3</v>
      </c>
      <c r="H293">
        <v>30300</v>
      </c>
      <c r="I293">
        <v>90900</v>
      </c>
    </row>
    <row r="294" spans="1:9" x14ac:dyDescent="0.35">
      <c r="A294" t="s">
        <v>334</v>
      </c>
      <c r="B294" s="1">
        <v>46196</v>
      </c>
      <c r="C294" t="s">
        <v>44</v>
      </c>
      <c r="D294" t="s">
        <v>11</v>
      </c>
      <c r="E294" t="s">
        <v>54</v>
      </c>
      <c r="F294" t="s">
        <v>55</v>
      </c>
      <c r="G294">
        <v>6</v>
      </c>
      <c r="H294">
        <v>22300</v>
      </c>
      <c r="I294">
        <v>133800</v>
      </c>
    </row>
    <row r="295" spans="1:9" x14ac:dyDescent="0.35">
      <c r="A295" t="s">
        <v>335</v>
      </c>
      <c r="B295" s="1">
        <v>46068</v>
      </c>
      <c r="C295" t="s">
        <v>15</v>
      </c>
      <c r="D295" t="s">
        <v>74</v>
      </c>
      <c r="E295" t="s">
        <v>32</v>
      </c>
      <c r="F295" t="s">
        <v>13</v>
      </c>
      <c r="G295">
        <v>3</v>
      </c>
      <c r="H295">
        <v>4400</v>
      </c>
      <c r="I295">
        <v>13200</v>
      </c>
    </row>
    <row r="296" spans="1:9" x14ac:dyDescent="0.35">
      <c r="A296" t="s">
        <v>336</v>
      </c>
      <c r="B296" s="1">
        <v>46115</v>
      </c>
      <c r="C296" t="s">
        <v>44</v>
      </c>
      <c r="D296" t="s">
        <v>25</v>
      </c>
      <c r="E296" t="s">
        <v>26</v>
      </c>
      <c r="F296" t="s">
        <v>18</v>
      </c>
      <c r="G296">
        <v>8</v>
      </c>
      <c r="H296">
        <v>73500</v>
      </c>
      <c r="I296">
        <v>588000</v>
      </c>
    </row>
    <row r="297" spans="1:9" x14ac:dyDescent="0.35">
      <c r="A297" t="s">
        <v>337</v>
      </c>
      <c r="B297" s="1">
        <v>46160</v>
      </c>
      <c r="C297" t="s">
        <v>15</v>
      </c>
      <c r="D297" t="s">
        <v>25</v>
      </c>
      <c r="E297" t="s">
        <v>37</v>
      </c>
      <c r="F297" t="s">
        <v>18</v>
      </c>
      <c r="G297">
        <v>2</v>
      </c>
      <c r="H297">
        <v>57300</v>
      </c>
      <c r="I297">
        <v>114600</v>
      </c>
    </row>
    <row r="298" spans="1:9" x14ac:dyDescent="0.35">
      <c r="A298" t="s">
        <v>338</v>
      </c>
      <c r="B298" s="1">
        <v>46093</v>
      </c>
      <c r="C298" t="s">
        <v>24</v>
      </c>
      <c r="D298" t="s">
        <v>16</v>
      </c>
      <c r="E298" t="s">
        <v>54</v>
      </c>
      <c r="F298" t="s">
        <v>55</v>
      </c>
      <c r="G298">
        <v>7</v>
      </c>
      <c r="H298">
        <v>22300</v>
      </c>
      <c r="I298">
        <v>156100</v>
      </c>
    </row>
    <row r="299" spans="1:9" x14ac:dyDescent="0.35">
      <c r="A299" t="s">
        <v>339</v>
      </c>
      <c r="B299" s="1">
        <v>46053</v>
      </c>
      <c r="C299" t="s">
        <v>29</v>
      </c>
      <c r="D299" t="s">
        <v>25</v>
      </c>
      <c r="E299" t="s">
        <v>40</v>
      </c>
      <c r="F299" t="s">
        <v>13</v>
      </c>
      <c r="G299">
        <v>8</v>
      </c>
      <c r="H299">
        <v>6000</v>
      </c>
      <c r="I299">
        <v>48000</v>
      </c>
    </row>
    <row r="300" spans="1:9" x14ac:dyDescent="0.35">
      <c r="A300" t="s">
        <v>340</v>
      </c>
      <c r="B300" s="1">
        <v>46142</v>
      </c>
      <c r="C300" t="s">
        <v>10</v>
      </c>
      <c r="D300" t="s">
        <v>74</v>
      </c>
      <c r="E300" t="s">
        <v>32</v>
      </c>
      <c r="F300" t="s">
        <v>13</v>
      </c>
      <c r="G300">
        <v>6</v>
      </c>
      <c r="H300">
        <v>4300</v>
      </c>
      <c r="I300">
        <v>25800</v>
      </c>
    </row>
    <row r="301" spans="1:9" x14ac:dyDescent="0.35">
      <c r="A301" t="s">
        <v>341</v>
      </c>
      <c r="B301" s="1">
        <v>46173</v>
      </c>
      <c r="C301" t="s">
        <v>65</v>
      </c>
      <c r="D301" t="s">
        <v>25</v>
      </c>
      <c r="E301" t="s">
        <v>40</v>
      </c>
      <c r="F301" t="s">
        <v>13</v>
      </c>
      <c r="G301">
        <v>3</v>
      </c>
      <c r="H301">
        <v>5700</v>
      </c>
      <c r="I301">
        <v>17100</v>
      </c>
    </row>
    <row r="302" spans="1:9" x14ac:dyDescent="0.35">
      <c r="A302" t="s">
        <v>342</v>
      </c>
      <c r="B302" s="1">
        <v>46181</v>
      </c>
      <c r="C302" t="s">
        <v>39</v>
      </c>
      <c r="D302" t="s">
        <v>74</v>
      </c>
      <c r="E302" t="s">
        <v>17</v>
      </c>
      <c r="F302" t="s">
        <v>18</v>
      </c>
      <c r="G302">
        <v>5</v>
      </c>
      <c r="H302">
        <v>38500</v>
      </c>
      <c r="I302">
        <v>192500</v>
      </c>
    </row>
    <row r="303" spans="1:9" x14ac:dyDescent="0.35">
      <c r="A303" t="s">
        <v>343</v>
      </c>
      <c r="B303" s="1">
        <v>46023</v>
      </c>
      <c r="C303" t="s">
        <v>34</v>
      </c>
      <c r="D303" t="s">
        <v>74</v>
      </c>
      <c r="E303" t="s">
        <v>17</v>
      </c>
      <c r="F303" t="s">
        <v>18</v>
      </c>
      <c r="G303">
        <v>7</v>
      </c>
      <c r="H303">
        <v>38800</v>
      </c>
      <c r="I303">
        <v>271600</v>
      </c>
    </row>
    <row r="304" spans="1:9" x14ac:dyDescent="0.35">
      <c r="A304" t="s">
        <v>344</v>
      </c>
      <c r="B304" s="1">
        <v>46098</v>
      </c>
      <c r="C304" t="s">
        <v>34</v>
      </c>
      <c r="D304" t="s">
        <v>36</v>
      </c>
      <c r="E304" t="s">
        <v>54</v>
      </c>
      <c r="F304" t="s">
        <v>55</v>
      </c>
      <c r="G304">
        <v>4</v>
      </c>
      <c r="H304">
        <v>23600</v>
      </c>
      <c r="I304">
        <v>94400</v>
      </c>
    </row>
    <row r="305" spans="1:9" x14ac:dyDescent="0.35">
      <c r="A305" t="s">
        <v>345</v>
      </c>
      <c r="B305" s="1">
        <v>46189</v>
      </c>
      <c r="C305" t="s">
        <v>31</v>
      </c>
      <c r="D305" t="s">
        <v>36</v>
      </c>
      <c r="E305" t="s">
        <v>40</v>
      </c>
      <c r="F305" t="s">
        <v>13</v>
      </c>
      <c r="G305">
        <v>2</v>
      </c>
      <c r="H305">
        <v>6800</v>
      </c>
      <c r="I305">
        <v>13600</v>
      </c>
    </row>
    <row r="306" spans="1:9" x14ac:dyDescent="0.35">
      <c r="A306" t="s">
        <v>346</v>
      </c>
      <c r="B306" s="1">
        <v>46152</v>
      </c>
      <c r="C306" t="s">
        <v>34</v>
      </c>
      <c r="D306" t="s">
        <v>16</v>
      </c>
      <c r="E306" t="s">
        <v>26</v>
      </c>
      <c r="F306" t="s">
        <v>18</v>
      </c>
      <c r="G306">
        <v>4</v>
      </c>
      <c r="H306">
        <v>85600</v>
      </c>
      <c r="I306">
        <v>342400</v>
      </c>
    </row>
    <row r="307" spans="1:9" x14ac:dyDescent="0.35">
      <c r="A307" t="s">
        <v>347</v>
      </c>
      <c r="B307" s="1">
        <v>46111</v>
      </c>
      <c r="C307" t="s">
        <v>44</v>
      </c>
      <c r="D307" t="s">
        <v>36</v>
      </c>
      <c r="E307" t="s">
        <v>63</v>
      </c>
      <c r="F307" t="s">
        <v>55</v>
      </c>
      <c r="G307">
        <v>2</v>
      </c>
      <c r="H307">
        <v>25900</v>
      </c>
      <c r="I307">
        <v>51800</v>
      </c>
    </row>
    <row r="308" spans="1:9" x14ac:dyDescent="0.35">
      <c r="A308" t="s">
        <v>348</v>
      </c>
      <c r="B308" s="1">
        <v>46111</v>
      </c>
      <c r="C308" t="s">
        <v>65</v>
      </c>
      <c r="D308" t="s">
        <v>16</v>
      </c>
      <c r="E308" t="s">
        <v>37</v>
      </c>
      <c r="F308" t="s">
        <v>18</v>
      </c>
      <c r="G308">
        <v>2</v>
      </c>
      <c r="H308">
        <v>51800</v>
      </c>
      <c r="I308">
        <v>103600</v>
      </c>
    </row>
    <row r="309" spans="1:9" x14ac:dyDescent="0.35">
      <c r="A309" t="s">
        <v>349</v>
      </c>
      <c r="B309" s="1">
        <v>46174</v>
      </c>
      <c r="C309" t="s">
        <v>20</v>
      </c>
      <c r="D309" t="s">
        <v>25</v>
      </c>
      <c r="E309" t="s">
        <v>40</v>
      </c>
      <c r="F309" t="s">
        <v>13</v>
      </c>
      <c r="G309">
        <v>4</v>
      </c>
      <c r="H309">
        <v>6400</v>
      </c>
      <c r="I309">
        <v>25600</v>
      </c>
    </row>
    <row r="310" spans="1:9" x14ac:dyDescent="0.35">
      <c r="A310" t="s">
        <v>350</v>
      </c>
      <c r="B310" s="1">
        <v>46197</v>
      </c>
      <c r="C310" t="s">
        <v>51</v>
      </c>
      <c r="D310" t="s">
        <v>25</v>
      </c>
      <c r="E310" t="s">
        <v>37</v>
      </c>
      <c r="F310" t="s">
        <v>18</v>
      </c>
      <c r="G310">
        <v>8</v>
      </c>
      <c r="H310">
        <v>47200</v>
      </c>
      <c r="I310">
        <v>377600</v>
      </c>
    </row>
    <row r="311" spans="1:9" x14ac:dyDescent="0.35">
      <c r="A311" t="s">
        <v>351</v>
      </c>
      <c r="B311" s="1">
        <v>46103</v>
      </c>
      <c r="C311" t="s">
        <v>31</v>
      </c>
      <c r="D311" t="s">
        <v>11</v>
      </c>
      <c r="E311" t="s">
        <v>26</v>
      </c>
      <c r="F311" t="s">
        <v>18</v>
      </c>
      <c r="G311">
        <v>2</v>
      </c>
      <c r="H311">
        <v>78900</v>
      </c>
      <c r="I311">
        <v>157800</v>
      </c>
    </row>
    <row r="312" spans="1:9" x14ac:dyDescent="0.35">
      <c r="A312" t="s">
        <v>352</v>
      </c>
      <c r="B312" s="1">
        <v>46204</v>
      </c>
      <c r="C312" t="s">
        <v>31</v>
      </c>
      <c r="D312" t="s">
        <v>74</v>
      </c>
      <c r="E312" t="s">
        <v>54</v>
      </c>
      <c r="F312" t="s">
        <v>55</v>
      </c>
      <c r="G312">
        <v>7</v>
      </c>
      <c r="H312">
        <v>24100</v>
      </c>
      <c r="I312">
        <v>168700</v>
      </c>
    </row>
    <row r="313" spans="1:9" x14ac:dyDescent="0.35">
      <c r="A313" t="s">
        <v>353</v>
      </c>
      <c r="B313" s="1">
        <v>46127</v>
      </c>
      <c r="C313" t="s">
        <v>31</v>
      </c>
      <c r="D313" t="s">
        <v>25</v>
      </c>
      <c r="E313" t="s">
        <v>54</v>
      </c>
      <c r="F313" t="s">
        <v>55</v>
      </c>
      <c r="G313">
        <v>4</v>
      </c>
      <c r="H313">
        <v>19700</v>
      </c>
      <c r="I313">
        <v>78800</v>
      </c>
    </row>
    <row r="314" spans="1:9" x14ac:dyDescent="0.35">
      <c r="A314" t="s">
        <v>354</v>
      </c>
      <c r="B314" s="1">
        <v>46025</v>
      </c>
      <c r="C314" t="s">
        <v>31</v>
      </c>
      <c r="D314" t="s">
        <v>11</v>
      </c>
      <c r="E314" t="s">
        <v>54</v>
      </c>
      <c r="F314" t="s">
        <v>55</v>
      </c>
      <c r="G314">
        <v>8</v>
      </c>
      <c r="H314">
        <v>20800</v>
      </c>
      <c r="I314">
        <v>166400</v>
      </c>
    </row>
    <row r="315" spans="1:9" x14ac:dyDescent="0.35">
      <c r="A315" t="s">
        <v>355</v>
      </c>
      <c r="B315" s="1">
        <v>46136</v>
      </c>
      <c r="C315" t="s">
        <v>31</v>
      </c>
      <c r="D315" t="s">
        <v>36</v>
      </c>
      <c r="E315" t="s">
        <v>63</v>
      </c>
      <c r="F315" t="s">
        <v>55</v>
      </c>
      <c r="G315">
        <v>4</v>
      </c>
      <c r="H315">
        <v>30200</v>
      </c>
      <c r="I315">
        <v>120800</v>
      </c>
    </row>
    <row r="316" spans="1:9" x14ac:dyDescent="0.35">
      <c r="A316" t="s">
        <v>356</v>
      </c>
      <c r="B316" s="1">
        <v>46049</v>
      </c>
      <c r="C316" t="s">
        <v>46</v>
      </c>
      <c r="D316" t="s">
        <v>36</v>
      </c>
      <c r="E316" t="s">
        <v>54</v>
      </c>
      <c r="F316" t="s">
        <v>55</v>
      </c>
      <c r="G316">
        <v>4</v>
      </c>
      <c r="H316">
        <v>19300</v>
      </c>
      <c r="I316">
        <v>77200</v>
      </c>
    </row>
    <row r="317" spans="1:9" x14ac:dyDescent="0.35">
      <c r="A317" t="s">
        <v>357</v>
      </c>
      <c r="B317" s="1">
        <v>46065</v>
      </c>
      <c r="C317" t="s">
        <v>29</v>
      </c>
      <c r="D317" t="s">
        <v>25</v>
      </c>
      <c r="E317" t="s">
        <v>61</v>
      </c>
      <c r="F317" t="s">
        <v>13</v>
      </c>
      <c r="G317">
        <v>7</v>
      </c>
      <c r="H317">
        <v>8400</v>
      </c>
      <c r="I317">
        <v>58800</v>
      </c>
    </row>
    <row r="318" spans="1:9" x14ac:dyDescent="0.35">
      <c r="A318" t="s">
        <v>358</v>
      </c>
      <c r="B318" s="1">
        <v>46058</v>
      </c>
      <c r="C318" t="s">
        <v>44</v>
      </c>
      <c r="D318" t="s">
        <v>11</v>
      </c>
      <c r="E318" t="s">
        <v>21</v>
      </c>
      <c r="F318" t="s">
        <v>22</v>
      </c>
      <c r="G318">
        <v>7</v>
      </c>
      <c r="H318">
        <v>30100</v>
      </c>
      <c r="I318">
        <v>210700</v>
      </c>
    </row>
    <row r="319" spans="1:9" x14ac:dyDescent="0.35">
      <c r="A319" t="s">
        <v>359</v>
      </c>
      <c r="B319" s="1">
        <v>46123</v>
      </c>
      <c r="C319" t="s">
        <v>24</v>
      </c>
      <c r="D319" t="s">
        <v>49</v>
      </c>
      <c r="E319" t="s">
        <v>32</v>
      </c>
      <c r="F319" t="s">
        <v>13</v>
      </c>
      <c r="G319">
        <v>4</v>
      </c>
      <c r="H319">
        <v>4000</v>
      </c>
      <c r="I319">
        <v>16000</v>
      </c>
    </row>
    <row r="320" spans="1:9" x14ac:dyDescent="0.35">
      <c r="A320" t="s">
        <v>360</v>
      </c>
      <c r="B320" s="1">
        <v>46094</v>
      </c>
      <c r="C320" t="s">
        <v>15</v>
      </c>
      <c r="D320" t="s">
        <v>25</v>
      </c>
      <c r="E320" t="s">
        <v>21</v>
      </c>
      <c r="F320" t="s">
        <v>22</v>
      </c>
      <c r="G320">
        <v>6</v>
      </c>
      <c r="H320">
        <v>24800</v>
      </c>
      <c r="I320">
        <v>148800</v>
      </c>
    </row>
    <row r="321" spans="1:9" x14ac:dyDescent="0.35">
      <c r="A321" t="s">
        <v>361</v>
      </c>
      <c r="B321" s="1">
        <v>46077</v>
      </c>
      <c r="C321" t="s">
        <v>34</v>
      </c>
      <c r="D321" t="s">
        <v>11</v>
      </c>
      <c r="E321" t="s">
        <v>32</v>
      </c>
      <c r="F321" t="s">
        <v>13</v>
      </c>
      <c r="G321">
        <v>8</v>
      </c>
      <c r="H321">
        <v>4300</v>
      </c>
      <c r="I321">
        <v>34400</v>
      </c>
    </row>
    <row r="322" spans="1:9" x14ac:dyDescent="0.35">
      <c r="A322" t="s">
        <v>362</v>
      </c>
      <c r="B322" s="1">
        <v>46123</v>
      </c>
      <c r="C322" t="s">
        <v>65</v>
      </c>
      <c r="D322" t="s">
        <v>16</v>
      </c>
      <c r="E322" t="s">
        <v>63</v>
      </c>
      <c r="F322" t="s">
        <v>55</v>
      </c>
      <c r="G322">
        <v>4</v>
      </c>
      <c r="H322">
        <v>27200</v>
      </c>
      <c r="I322">
        <v>108800</v>
      </c>
    </row>
    <row r="323" spans="1:9" x14ac:dyDescent="0.35">
      <c r="A323" t="s">
        <v>363</v>
      </c>
      <c r="B323" s="1">
        <v>46036</v>
      </c>
      <c r="C323" t="s">
        <v>46</v>
      </c>
      <c r="D323" t="s">
        <v>11</v>
      </c>
      <c r="E323" t="s">
        <v>21</v>
      </c>
      <c r="F323" t="s">
        <v>22</v>
      </c>
      <c r="G323">
        <v>1</v>
      </c>
      <c r="H323">
        <v>25300</v>
      </c>
      <c r="I323">
        <v>25300</v>
      </c>
    </row>
    <row r="324" spans="1:9" x14ac:dyDescent="0.35">
      <c r="A324" t="s">
        <v>364</v>
      </c>
      <c r="B324" s="1">
        <v>46120</v>
      </c>
      <c r="C324" t="s">
        <v>34</v>
      </c>
      <c r="D324" t="s">
        <v>11</v>
      </c>
      <c r="E324" t="s">
        <v>12</v>
      </c>
      <c r="F324" t="s">
        <v>13</v>
      </c>
      <c r="G324">
        <v>7</v>
      </c>
      <c r="H324">
        <v>2600</v>
      </c>
      <c r="I324">
        <v>18200</v>
      </c>
    </row>
    <row r="325" spans="1:9" x14ac:dyDescent="0.35">
      <c r="A325" t="s">
        <v>365</v>
      </c>
      <c r="B325" s="1">
        <v>46105</v>
      </c>
      <c r="C325" t="s">
        <v>15</v>
      </c>
      <c r="D325" t="s">
        <v>49</v>
      </c>
      <c r="E325" t="s">
        <v>63</v>
      </c>
      <c r="F325" t="s">
        <v>55</v>
      </c>
      <c r="G325">
        <v>1</v>
      </c>
      <c r="H325">
        <v>33500</v>
      </c>
      <c r="I325">
        <v>33500</v>
      </c>
    </row>
    <row r="326" spans="1:9" x14ac:dyDescent="0.35">
      <c r="A326" t="s">
        <v>366</v>
      </c>
      <c r="B326" s="1">
        <v>46155</v>
      </c>
      <c r="C326" t="s">
        <v>10</v>
      </c>
      <c r="D326" t="s">
        <v>36</v>
      </c>
      <c r="E326" t="s">
        <v>61</v>
      </c>
      <c r="F326" t="s">
        <v>13</v>
      </c>
      <c r="G326">
        <v>6</v>
      </c>
      <c r="H326">
        <v>9000</v>
      </c>
      <c r="I326">
        <v>54000</v>
      </c>
    </row>
    <row r="327" spans="1:9" x14ac:dyDescent="0.35">
      <c r="A327" t="s">
        <v>367</v>
      </c>
      <c r="B327" s="1">
        <v>46154</v>
      </c>
      <c r="C327" t="s">
        <v>31</v>
      </c>
      <c r="D327" t="s">
        <v>11</v>
      </c>
      <c r="E327" t="s">
        <v>12</v>
      </c>
      <c r="F327" t="s">
        <v>13</v>
      </c>
      <c r="G327">
        <v>5</v>
      </c>
      <c r="H327">
        <v>2600</v>
      </c>
      <c r="I327">
        <v>13000</v>
      </c>
    </row>
    <row r="328" spans="1:9" x14ac:dyDescent="0.35">
      <c r="A328" t="s">
        <v>368</v>
      </c>
      <c r="B328" s="1">
        <v>46171</v>
      </c>
      <c r="C328" t="s">
        <v>46</v>
      </c>
      <c r="D328" t="s">
        <v>25</v>
      </c>
      <c r="E328" t="s">
        <v>17</v>
      </c>
      <c r="F328" t="s">
        <v>18</v>
      </c>
      <c r="G328">
        <v>3</v>
      </c>
      <c r="H328">
        <v>36000</v>
      </c>
      <c r="I328">
        <v>108000</v>
      </c>
    </row>
    <row r="329" spans="1:9" x14ac:dyDescent="0.35">
      <c r="A329" t="s">
        <v>369</v>
      </c>
      <c r="B329" s="1">
        <v>46062</v>
      </c>
      <c r="C329" t="s">
        <v>20</v>
      </c>
      <c r="D329" t="s">
        <v>49</v>
      </c>
      <c r="E329" t="s">
        <v>54</v>
      </c>
      <c r="F329" t="s">
        <v>55</v>
      </c>
      <c r="G329">
        <v>3</v>
      </c>
      <c r="H329">
        <v>19200</v>
      </c>
      <c r="I329">
        <v>57600</v>
      </c>
    </row>
    <row r="330" spans="1:9" x14ac:dyDescent="0.35">
      <c r="A330" t="s">
        <v>370</v>
      </c>
      <c r="B330" s="1">
        <v>46126</v>
      </c>
      <c r="C330" t="s">
        <v>39</v>
      </c>
      <c r="D330" t="s">
        <v>36</v>
      </c>
      <c r="E330" t="s">
        <v>32</v>
      </c>
      <c r="F330" t="s">
        <v>13</v>
      </c>
      <c r="G330">
        <v>5</v>
      </c>
      <c r="H330">
        <v>4800</v>
      </c>
      <c r="I330">
        <v>24000</v>
      </c>
    </row>
    <row r="331" spans="1:9" x14ac:dyDescent="0.35">
      <c r="A331" t="s">
        <v>371</v>
      </c>
      <c r="B331" s="1">
        <v>46026</v>
      </c>
      <c r="C331" t="s">
        <v>39</v>
      </c>
      <c r="D331" t="s">
        <v>49</v>
      </c>
      <c r="E331" t="s">
        <v>63</v>
      </c>
      <c r="F331" t="s">
        <v>55</v>
      </c>
      <c r="G331">
        <v>2</v>
      </c>
      <c r="H331">
        <v>30300</v>
      </c>
      <c r="I331">
        <v>60600</v>
      </c>
    </row>
    <row r="332" spans="1:9" x14ac:dyDescent="0.35">
      <c r="A332" t="s">
        <v>372</v>
      </c>
      <c r="B332" s="1">
        <v>46079</v>
      </c>
      <c r="C332" t="s">
        <v>10</v>
      </c>
      <c r="D332" t="s">
        <v>36</v>
      </c>
      <c r="E332" t="s">
        <v>17</v>
      </c>
      <c r="F332" t="s">
        <v>18</v>
      </c>
      <c r="G332">
        <v>1</v>
      </c>
      <c r="H332">
        <v>38100</v>
      </c>
      <c r="I332">
        <v>38100</v>
      </c>
    </row>
    <row r="333" spans="1:9" x14ac:dyDescent="0.35">
      <c r="A333" t="s">
        <v>373</v>
      </c>
      <c r="B333" s="1">
        <v>46070</v>
      </c>
      <c r="C333" t="s">
        <v>31</v>
      </c>
      <c r="D333" t="s">
        <v>49</v>
      </c>
      <c r="E333" t="s">
        <v>61</v>
      </c>
      <c r="F333" t="s">
        <v>13</v>
      </c>
      <c r="G333">
        <v>8</v>
      </c>
      <c r="H333">
        <v>7900</v>
      </c>
      <c r="I333">
        <v>63200</v>
      </c>
    </row>
    <row r="334" spans="1:9" x14ac:dyDescent="0.35">
      <c r="A334" t="s">
        <v>374</v>
      </c>
      <c r="B334" s="1">
        <v>46185</v>
      </c>
      <c r="C334" t="s">
        <v>34</v>
      </c>
      <c r="D334" t="s">
        <v>11</v>
      </c>
      <c r="E334" t="s">
        <v>54</v>
      </c>
      <c r="F334" t="s">
        <v>55</v>
      </c>
      <c r="G334">
        <v>6</v>
      </c>
      <c r="H334">
        <v>21300</v>
      </c>
      <c r="I334">
        <v>127800</v>
      </c>
    </row>
    <row r="335" spans="1:9" x14ac:dyDescent="0.35">
      <c r="A335" t="s">
        <v>375</v>
      </c>
      <c r="B335" s="1">
        <v>46169</v>
      </c>
      <c r="C335" t="s">
        <v>46</v>
      </c>
      <c r="D335" t="s">
        <v>74</v>
      </c>
      <c r="E335" t="s">
        <v>21</v>
      </c>
      <c r="G335">
        <v>8</v>
      </c>
      <c r="H335">
        <v>30200</v>
      </c>
      <c r="I335">
        <v>241600</v>
      </c>
    </row>
    <row r="336" spans="1:9" x14ac:dyDescent="0.35">
      <c r="A336" t="s">
        <v>376</v>
      </c>
      <c r="B336" s="1">
        <v>46093</v>
      </c>
      <c r="C336" t="s">
        <v>51</v>
      </c>
      <c r="D336" t="s">
        <v>49</v>
      </c>
      <c r="E336" t="s">
        <v>26</v>
      </c>
      <c r="F336" t="s">
        <v>18</v>
      </c>
      <c r="G336">
        <v>3</v>
      </c>
      <c r="H336">
        <v>74500</v>
      </c>
      <c r="I336">
        <v>223500</v>
      </c>
    </row>
    <row r="337" spans="1:9" x14ac:dyDescent="0.35">
      <c r="A337" t="s">
        <v>377</v>
      </c>
      <c r="B337" s="1">
        <v>46125</v>
      </c>
      <c r="C337" t="s">
        <v>15</v>
      </c>
      <c r="D337" t="s">
        <v>25</v>
      </c>
      <c r="E337" t="s">
        <v>40</v>
      </c>
      <c r="F337" t="s">
        <v>13</v>
      </c>
      <c r="G337">
        <v>5</v>
      </c>
      <c r="H337">
        <v>5700</v>
      </c>
      <c r="I337">
        <v>28500</v>
      </c>
    </row>
    <row r="338" spans="1:9" x14ac:dyDescent="0.35">
      <c r="A338" t="s">
        <v>378</v>
      </c>
      <c r="B338" s="1">
        <v>46085</v>
      </c>
      <c r="C338" t="s">
        <v>65</v>
      </c>
      <c r="D338" t="s">
        <v>25</v>
      </c>
      <c r="E338" t="s">
        <v>17</v>
      </c>
      <c r="F338" t="s">
        <v>18</v>
      </c>
      <c r="G338">
        <v>1</v>
      </c>
      <c r="H338">
        <v>37500</v>
      </c>
      <c r="I338">
        <v>37500</v>
      </c>
    </row>
    <row r="339" spans="1:9" x14ac:dyDescent="0.35">
      <c r="A339" t="s">
        <v>379</v>
      </c>
      <c r="B339" s="1">
        <v>46104</v>
      </c>
      <c r="C339" t="s">
        <v>34</v>
      </c>
      <c r="D339" t="s">
        <v>49</v>
      </c>
      <c r="E339" t="s">
        <v>61</v>
      </c>
      <c r="F339" t="s">
        <v>13</v>
      </c>
      <c r="G339">
        <v>2</v>
      </c>
      <c r="H339">
        <v>8700</v>
      </c>
      <c r="I339">
        <v>17400</v>
      </c>
    </row>
    <row r="340" spans="1:9" x14ac:dyDescent="0.35">
      <c r="A340" t="s">
        <v>380</v>
      </c>
      <c r="B340" s="1">
        <v>46036</v>
      </c>
      <c r="C340" t="s">
        <v>34</v>
      </c>
      <c r="D340" t="s">
        <v>36</v>
      </c>
      <c r="E340" t="s">
        <v>17</v>
      </c>
      <c r="F340" t="s">
        <v>18</v>
      </c>
      <c r="G340">
        <v>1</v>
      </c>
      <c r="H340">
        <v>33700</v>
      </c>
      <c r="I340">
        <v>33700</v>
      </c>
    </row>
    <row r="341" spans="1:9" x14ac:dyDescent="0.35">
      <c r="A341" t="s">
        <v>381</v>
      </c>
      <c r="B341" s="1">
        <v>46151</v>
      </c>
      <c r="C341" t="s">
        <v>51</v>
      </c>
      <c r="D341" t="s">
        <v>16</v>
      </c>
      <c r="E341" t="s">
        <v>54</v>
      </c>
      <c r="F341" t="s">
        <v>55</v>
      </c>
      <c r="G341">
        <v>5</v>
      </c>
      <c r="H341">
        <v>22800</v>
      </c>
      <c r="I341">
        <v>114000</v>
      </c>
    </row>
    <row r="342" spans="1:9" x14ac:dyDescent="0.35">
      <c r="A342" t="s">
        <v>382</v>
      </c>
      <c r="B342" s="1">
        <v>46104</v>
      </c>
      <c r="C342" t="s">
        <v>46</v>
      </c>
      <c r="D342" t="s">
        <v>11</v>
      </c>
      <c r="E342" t="s">
        <v>17</v>
      </c>
      <c r="F342" t="s">
        <v>18</v>
      </c>
      <c r="G342">
        <v>4</v>
      </c>
      <c r="H342">
        <v>33400</v>
      </c>
      <c r="I342">
        <v>133600</v>
      </c>
    </row>
    <row r="343" spans="1:9" x14ac:dyDescent="0.35">
      <c r="A343" t="s">
        <v>383</v>
      </c>
      <c r="B343" s="1">
        <v>46045</v>
      </c>
      <c r="C343" t="s">
        <v>44</v>
      </c>
      <c r="D343" t="s">
        <v>36</v>
      </c>
      <c r="E343" t="s">
        <v>61</v>
      </c>
      <c r="F343" t="s">
        <v>13</v>
      </c>
      <c r="G343">
        <v>2</v>
      </c>
      <c r="H343">
        <v>7300</v>
      </c>
      <c r="I343">
        <v>14600</v>
      </c>
    </row>
    <row r="344" spans="1:9" x14ac:dyDescent="0.35">
      <c r="A344" t="s">
        <v>384</v>
      </c>
      <c r="B344" s="1">
        <v>46191</v>
      </c>
      <c r="C344" t="s">
        <v>34</v>
      </c>
      <c r="D344" t="s">
        <v>49</v>
      </c>
      <c r="E344" t="s">
        <v>17</v>
      </c>
      <c r="F344" t="s">
        <v>18</v>
      </c>
      <c r="G344">
        <v>2</v>
      </c>
      <c r="H344">
        <v>37800</v>
      </c>
      <c r="I344">
        <v>75600</v>
      </c>
    </row>
    <row r="345" spans="1:9" x14ac:dyDescent="0.35">
      <c r="A345" t="s">
        <v>385</v>
      </c>
      <c r="B345" s="1">
        <v>46099</v>
      </c>
      <c r="C345" t="s">
        <v>10</v>
      </c>
      <c r="D345" t="s">
        <v>74</v>
      </c>
      <c r="E345" t="s">
        <v>32</v>
      </c>
      <c r="F345" t="s">
        <v>13</v>
      </c>
      <c r="G345">
        <v>6</v>
      </c>
      <c r="H345">
        <v>4900</v>
      </c>
      <c r="I345">
        <v>29400</v>
      </c>
    </row>
    <row r="346" spans="1:9" x14ac:dyDescent="0.35">
      <c r="A346" t="s">
        <v>386</v>
      </c>
      <c r="B346" s="1">
        <v>46062</v>
      </c>
      <c r="C346" t="s">
        <v>29</v>
      </c>
      <c r="D346" t="s">
        <v>16</v>
      </c>
      <c r="E346" t="s">
        <v>32</v>
      </c>
      <c r="F346" t="s">
        <v>13</v>
      </c>
      <c r="G346">
        <v>7</v>
      </c>
      <c r="H346">
        <v>5000</v>
      </c>
      <c r="I346">
        <v>35000</v>
      </c>
    </row>
    <row r="347" spans="1:9" x14ac:dyDescent="0.35">
      <c r="A347" t="s">
        <v>387</v>
      </c>
      <c r="B347" s="1">
        <v>46163</v>
      </c>
      <c r="C347" t="s">
        <v>39</v>
      </c>
      <c r="D347" t="s">
        <v>49</v>
      </c>
      <c r="E347" t="s">
        <v>54</v>
      </c>
      <c r="F347" t="s">
        <v>55</v>
      </c>
      <c r="G347">
        <v>6</v>
      </c>
      <c r="H347">
        <v>21500</v>
      </c>
      <c r="I347">
        <v>129000</v>
      </c>
    </row>
    <row r="348" spans="1:9" x14ac:dyDescent="0.35">
      <c r="A348" t="s">
        <v>388</v>
      </c>
      <c r="B348" s="1">
        <v>46189</v>
      </c>
      <c r="C348" t="s">
        <v>39</v>
      </c>
      <c r="D348" t="s">
        <v>49</v>
      </c>
      <c r="E348" t="s">
        <v>40</v>
      </c>
      <c r="F348" t="s">
        <v>13</v>
      </c>
      <c r="G348">
        <v>7</v>
      </c>
      <c r="H348">
        <v>6400</v>
      </c>
      <c r="I348">
        <v>44800</v>
      </c>
    </row>
    <row r="349" spans="1:9" x14ac:dyDescent="0.35">
      <c r="A349" t="s">
        <v>389</v>
      </c>
      <c r="B349" s="1">
        <v>46053</v>
      </c>
      <c r="C349" t="s">
        <v>44</v>
      </c>
      <c r="D349" t="s">
        <v>16</v>
      </c>
      <c r="E349" t="s">
        <v>12</v>
      </c>
      <c r="F349" t="s">
        <v>13</v>
      </c>
      <c r="G349">
        <v>4</v>
      </c>
      <c r="H349">
        <v>2800</v>
      </c>
      <c r="I349">
        <v>11200</v>
      </c>
    </row>
    <row r="350" spans="1:9" x14ac:dyDescent="0.35">
      <c r="A350" t="s">
        <v>390</v>
      </c>
      <c r="B350" s="1">
        <v>46075</v>
      </c>
      <c r="C350" t="s">
        <v>44</v>
      </c>
      <c r="D350" t="s">
        <v>49</v>
      </c>
      <c r="E350" t="s">
        <v>17</v>
      </c>
      <c r="F350" t="s">
        <v>18</v>
      </c>
      <c r="G350">
        <v>1</v>
      </c>
      <c r="H350">
        <v>33700</v>
      </c>
      <c r="I350">
        <v>33700</v>
      </c>
    </row>
    <row r="351" spans="1:9" x14ac:dyDescent="0.35">
      <c r="A351" t="s">
        <v>391</v>
      </c>
      <c r="B351" s="1">
        <v>46135</v>
      </c>
      <c r="C351" t="s">
        <v>44</v>
      </c>
      <c r="D351" t="s">
        <v>36</v>
      </c>
      <c r="E351" t="s">
        <v>17</v>
      </c>
      <c r="F351" t="s">
        <v>18</v>
      </c>
      <c r="G351">
        <v>5</v>
      </c>
      <c r="H351">
        <v>32600</v>
      </c>
      <c r="I351">
        <v>163000</v>
      </c>
    </row>
    <row r="352" spans="1:9" x14ac:dyDescent="0.35">
      <c r="A352" t="s">
        <v>392</v>
      </c>
      <c r="B352" s="1">
        <v>46166</v>
      </c>
      <c r="C352" t="s">
        <v>15</v>
      </c>
      <c r="D352" t="s">
        <v>49</v>
      </c>
      <c r="E352" t="s">
        <v>32</v>
      </c>
      <c r="F352" t="s">
        <v>13</v>
      </c>
      <c r="G352">
        <v>8</v>
      </c>
      <c r="H352">
        <v>4700</v>
      </c>
      <c r="I352">
        <v>37600</v>
      </c>
    </row>
    <row r="353" spans="1:9" x14ac:dyDescent="0.35">
      <c r="A353" t="s">
        <v>393</v>
      </c>
      <c r="B353" s="1">
        <v>46065</v>
      </c>
      <c r="C353" t="s">
        <v>46</v>
      </c>
      <c r="D353" t="s">
        <v>74</v>
      </c>
      <c r="E353" t="s">
        <v>61</v>
      </c>
      <c r="F353" t="s">
        <v>13</v>
      </c>
      <c r="G353">
        <v>7</v>
      </c>
      <c r="H353">
        <v>8900</v>
      </c>
      <c r="I353">
        <v>62300</v>
      </c>
    </row>
    <row r="354" spans="1:9" x14ac:dyDescent="0.35">
      <c r="A354" t="s">
        <v>394</v>
      </c>
      <c r="B354" s="1">
        <v>46088</v>
      </c>
      <c r="C354" t="s">
        <v>20</v>
      </c>
      <c r="D354" t="s">
        <v>49</v>
      </c>
      <c r="E354" t="s">
        <v>32</v>
      </c>
      <c r="F354" t="s">
        <v>13</v>
      </c>
      <c r="G354">
        <v>4</v>
      </c>
      <c r="H354">
        <v>4400</v>
      </c>
      <c r="I354">
        <v>17600</v>
      </c>
    </row>
    <row r="355" spans="1:9" x14ac:dyDescent="0.35">
      <c r="A355" t="s">
        <v>395</v>
      </c>
      <c r="B355" s="1">
        <v>46143</v>
      </c>
      <c r="C355" t="s">
        <v>65</v>
      </c>
      <c r="D355" t="s">
        <v>49</v>
      </c>
      <c r="E355" t="s">
        <v>12</v>
      </c>
      <c r="F355" t="s">
        <v>13</v>
      </c>
      <c r="G355">
        <v>5</v>
      </c>
      <c r="H355">
        <v>2800</v>
      </c>
      <c r="I355">
        <v>14000</v>
      </c>
    </row>
    <row r="356" spans="1:9" x14ac:dyDescent="0.35">
      <c r="A356" t="s">
        <v>396</v>
      </c>
      <c r="B356" s="1">
        <v>46175</v>
      </c>
      <c r="C356" t="s">
        <v>65</v>
      </c>
      <c r="D356" t="s">
        <v>36</v>
      </c>
      <c r="E356" t="s">
        <v>26</v>
      </c>
      <c r="F356" t="s">
        <v>18</v>
      </c>
      <c r="G356">
        <v>7</v>
      </c>
      <c r="H356">
        <v>92600</v>
      </c>
      <c r="I356">
        <v>648200</v>
      </c>
    </row>
    <row r="357" spans="1:9" x14ac:dyDescent="0.35">
      <c r="A357" t="s">
        <v>397</v>
      </c>
      <c r="B357" s="1">
        <v>46072</v>
      </c>
      <c r="C357" t="s">
        <v>51</v>
      </c>
      <c r="D357" t="s">
        <v>49</v>
      </c>
      <c r="E357" t="s">
        <v>12</v>
      </c>
      <c r="F357" t="s">
        <v>13</v>
      </c>
      <c r="G357">
        <v>4</v>
      </c>
      <c r="H357">
        <v>2100</v>
      </c>
      <c r="I357">
        <v>8400</v>
      </c>
    </row>
    <row r="358" spans="1:9" x14ac:dyDescent="0.35">
      <c r="A358" t="s">
        <v>398</v>
      </c>
      <c r="B358" s="1">
        <v>46143</v>
      </c>
      <c r="C358" t="s">
        <v>31</v>
      </c>
      <c r="D358" t="s">
        <v>11</v>
      </c>
      <c r="E358" t="s">
        <v>54</v>
      </c>
      <c r="F358" t="s">
        <v>55</v>
      </c>
      <c r="G358">
        <v>1</v>
      </c>
      <c r="H358">
        <v>21300</v>
      </c>
      <c r="I358">
        <v>21300</v>
      </c>
    </row>
    <row r="359" spans="1:9" x14ac:dyDescent="0.35">
      <c r="A359" t="s">
        <v>399</v>
      </c>
      <c r="B359" s="1">
        <v>46164</v>
      </c>
      <c r="C359" t="s">
        <v>10</v>
      </c>
      <c r="D359" t="s">
        <v>11</v>
      </c>
      <c r="E359" t="s">
        <v>40</v>
      </c>
      <c r="F359" t="s">
        <v>13</v>
      </c>
      <c r="G359">
        <v>1</v>
      </c>
      <c r="H359">
        <v>7400</v>
      </c>
      <c r="I359">
        <v>7400</v>
      </c>
    </row>
    <row r="360" spans="1:9" x14ac:dyDescent="0.35">
      <c r="A360" t="s">
        <v>400</v>
      </c>
      <c r="B360" s="1">
        <v>46134</v>
      </c>
      <c r="C360" t="s">
        <v>51</v>
      </c>
      <c r="D360" t="s">
        <v>11</v>
      </c>
      <c r="E360" t="s">
        <v>40</v>
      </c>
      <c r="F360" t="s">
        <v>13</v>
      </c>
      <c r="G360">
        <v>2</v>
      </c>
      <c r="H360">
        <v>7100</v>
      </c>
      <c r="I360">
        <v>14200</v>
      </c>
    </row>
    <row r="361" spans="1:9" x14ac:dyDescent="0.35">
      <c r="A361" t="s">
        <v>401</v>
      </c>
      <c r="B361" s="1">
        <v>46035</v>
      </c>
      <c r="C361" t="s">
        <v>34</v>
      </c>
      <c r="D361" t="s">
        <v>49</v>
      </c>
      <c r="E361" t="s">
        <v>12</v>
      </c>
      <c r="F361" t="s">
        <v>13</v>
      </c>
      <c r="G361">
        <v>6</v>
      </c>
      <c r="H361">
        <v>2400</v>
      </c>
      <c r="I361">
        <v>14400</v>
      </c>
    </row>
    <row r="362" spans="1:9" x14ac:dyDescent="0.35">
      <c r="A362" t="s">
        <v>402</v>
      </c>
      <c r="B362" s="1">
        <v>46087</v>
      </c>
      <c r="C362" t="s">
        <v>65</v>
      </c>
      <c r="D362" t="s">
        <v>11</v>
      </c>
      <c r="E362" t="s">
        <v>21</v>
      </c>
      <c r="F362" t="s">
        <v>22</v>
      </c>
      <c r="G362">
        <v>5</v>
      </c>
      <c r="H362">
        <v>30900</v>
      </c>
      <c r="I362">
        <v>154500</v>
      </c>
    </row>
    <row r="363" spans="1:9" x14ac:dyDescent="0.35">
      <c r="A363" t="s">
        <v>403</v>
      </c>
      <c r="B363" s="1">
        <v>46080</v>
      </c>
      <c r="C363" t="s">
        <v>34</v>
      </c>
      <c r="D363" t="s">
        <v>25</v>
      </c>
      <c r="E363" t="s">
        <v>12</v>
      </c>
      <c r="F363" t="s">
        <v>13</v>
      </c>
      <c r="G363">
        <v>7</v>
      </c>
      <c r="H363">
        <v>2200</v>
      </c>
      <c r="I363">
        <v>15400</v>
      </c>
    </row>
    <row r="364" spans="1:9" x14ac:dyDescent="0.35">
      <c r="A364" t="s">
        <v>404</v>
      </c>
      <c r="B364" s="1">
        <v>46150</v>
      </c>
      <c r="C364" t="s">
        <v>20</v>
      </c>
      <c r="D364" t="s">
        <v>36</v>
      </c>
      <c r="E364" t="s">
        <v>40</v>
      </c>
      <c r="F364" t="s">
        <v>13</v>
      </c>
      <c r="G364">
        <v>6</v>
      </c>
      <c r="H364">
        <v>6500</v>
      </c>
      <c r="I364">
        <v>39000</v>
      </c>
    </row>
    <row r="365" spans="1:9" x14ac:dyDescent="0.35">
      <c r="A365" t="s">
        <v>405</v>
      </c>
      <c r="B365" s="1">
        <v>46126</v>
      </c>
      <c r="C365" t="s">
        <v>20</v>
      </c>
      <c r="D365" t="s">
        <v>74</v>
      </c>
      <c r="E365" t="s">
        <v>40</v>
      </c>
      <c r="F365" t="s">
        <v>13</v>
      </c>
      <c r="G365">
        <v>3</v>
      </c>
      <c r="H365">
        <v>5600</v>
      </c>
      <c r="I365">
        <v>16800</v>
      </c>
    </row>
    <row r="366" spans="1:9" x14ac:dyDescent="0.35">
      <c r="A366" t="s">
        <v>406</v>
      </c>
      <c r="B366" s="1">
        <v>46167</v>
      </c>
      <c r="C366" t="s">
        <v>10</v>
      </c>
      <c r="D366" t="s">
        <v>36</v>
      </c>
      <c r="E366" t="s">
        <v>63</v>
      </c>
      <c r="F366" t="s">
        <v>55</v>
      </c>
      <c r="G366">
        <v>1</v>
      </c>
      <c r="H366">
        <v>26900</v>
      </c>
      <c r="I366">
        <v>26900</v>
      </c>
    </row>
    <row r="367" spans="1:9" x14ac:dyDescent="0.35">
      <c r="A367" t="s">
        <v>407</v>
      </c>
      <c r="B367" s="1">
        <v>46112</v>
      </c>
      <c r="C367" t="s">
        <v>20</v>
      </c>
      <c r="D367" t="s">
        <v>49</v>
      </c>
      <c r="E367" t="s">
        <v>40</v>
      </c>
      <c r="F367" t="s">
        <v>13</v>
      </c>
      <c r="G367">
        <v>7</v>
      </c>
      <c r="H367">
        <v>7300</v>
      </c>
      <c r="I367">
        <v>51100</v>
      </c>
    </row>
    <row r="368" spans="1:9" x14ac:dyDescent="0.35">
      <c r="A368" t="s">
        <v>408</v>
      </c>
      <c r="B368" s="1">
        <v>46129</v>
      </c>
      <c r="C368" t="s">
        <v>39</v>
      </c>
      <c r="D368" t="s">
        <v>74</v>
      </c>
      <c r="E368" t="s">
        <v>32</v>
      </c>
      <c r="F368" t="s">
        <v>13</v>
      </c>
      <c r="G368">
        <v>2</v>
      </c>
      <c r="H368">
        <v>4200</v>
      </c>
      <c r="I368">
        <v>8400</v>
      </c>
    </row>
    <row r="369" spans="1:9" x14ac:dyDescent="0.35">
      <c r="A369" t="s">
        <v>409</v>
      </c>
      <c r="B369" s="1">
        <v>46178</v>
      </c>
      <c r="C369" t="s">
        <v>51</v>
      </c>
      <c r="D369" t="s">
        <v>25</v>
      </c>
      <c r="E369" t="s">
        <v>61</v>
      </c>
      <c r="F369" t="s">
        <v>13</v>
      </c>
      <c r="G369">
        <v>3</v>
      </c>
      <c r="H369">
        <v>7400</v>
      </c>
      <c r="I369">
        <v>22200</v>
      </c>
    </row>
    <row r="370" spans="1:9" x14ac:dyDescent="0.35">
      <c r="A370" t="s">
        <v>410</v>
      </c>
      <c r="B370" s="1">
        <v>46160</v>
      </c>
      <c r="C370" t="s">
        <v>51</v>
      </c>
      <c r="D370" t="s">
        <v>36</v>
      </c>
      <c r="E370" t="s">
        <v>54</v>
      </c>
      <c r="F370" t="s">
        <v>55</v>
      </c>
      <c r="G370">
        <v>3</v>
      </c>
      <c r="H370">
        <v>21400</v>
      </c>
      <c r="I370">
        <v>64200</v>
      </c>
    </row>
    <row r="371" spans="1:9" x14ac:dyDescent="0.35">
      <c r="A371" t="s">
        <v>411</v>
      </c>
      <c r="B371" s="1">
        <v>46042</v>
      </c>
      <c r="C371" t="s">
        <v>46</v>
      </c>
      <c r="D371" t="s">
        <v>25</v>
      </c>
      <c r="E371" t="s">
        <v>21</v>
      </c>
      <c r="F371" t="s">
        <v>22</v>
      </c>
      <c r="G371">
        <v>2</v>
      </c>
      <c r="H371">
        <v>27700</v>
      </c>
      <c r="I371">
        <v>55400</v>
      </c>
    </row>
    <row r="372" spans="1:9" x14ac:dyDescent="0.35">
      <c r="A372" t="s">
        <v>412</v>
      </c>
      <c r="B372" s="1">
        <v>46060</v>
      </c>
      <c r="C372" t="s">
        <v>44</v>
      </c>
      <c r="D372" t="s">
        <v>36</v>
      </c>
      <c r="E372" t="s">
        <v>32</v>
      </c>
      <c r="F372" t="s">
        <v>13</v>
      </c>
      <c r="G372">
        <v>6</v>
      </c>
      <c r="H372">
        <v>5000</v>
      </c>
      <c r="I372">
        <v>30000</v>
      </c>
    </row>
    <row r="373" spans="1:9" x14ac:dyDescent="0.35">
      <c r="A373" t="s">
        <v>413</v>
      </c>
      <c r="B373" s="1">
        <v>46139</v>
      </c>
      <c r="C373" t="s">
        <v>10</v>
      </c>
      <c r="D373" t="s">
        <v>49</v>
      </c>
      <c r="E373" t="s">
        <v>17</v>
      </c>
      <c r="F373" t="s">
        <v>18</v>
      </c>
      <c r="G373">
        <v>5</v>
      </c>
      <c r="H373">
        <v>36500</v>
      </c>
      <c r="I373">
        <v>182500</v>
      </c>
    </row>
    <row r="374" spans="1:9" x14ac:dyDescent="0.35">
      <c r="A374" t="s">
        <v>414</v>
      </c>
      <c r="B374" s="1">
        <v>46192</v>
      </c>
      <c r="C374" t="s">
        <v>34</v>
      </c>
      <c r="D374" t="s">
        <v>25</v>
      </c>
      <c r="E374" t="s">
        <v>61</v>
      </c>
      <c r="F374" t="s">
        <v>13</v>
      </c>
      <c r="G374">
        <v>7</v>
      </c>
      <c r="H374">
        <v>7700</v>
      </c>
      <c r="I374">
        <v>53900</v>
      </c>
    </row>
    <row r="375" spans="1:9" x14ac:dyDescent="0.35">
      <c r="A375" t="s">
        <v>415</v>
      </c>
      <c r="B375" s="1">
        <v>46107</v>
      </c>
      <c r="C375" t="s">
        <v>24</v>
      </c>
      <c r="D375" t="s">
        <v>16</v>
      </c>
      <c r="E375" t="s">
        <v>12</v>
      </c>
      <c r="F375" t="s">
        <v>13</v>
      </c>
      <c r="G375">
        <v>3</v>
      </c>
      <c r="H375">
        <v>2500</v>
      </c>
      <c r="I375">
        <v>7500</v>
      </c>
    </row>
    <row r="376" spans="1:9" x14ac:dyDescent="0.35">
      <c r="A376" t="s">
        <v>416</v>
      </c>
      <c r="B376" s="1">
        <v>46042</v>
      </c>
      <c r="C376" t="s">
        <v>46</v>
      </c>
      <c r="D376" t="s">
        <v>36</v>
      </c>
      <c r="E376" t="s">
        <v>32</v>
      </c>
      <c r="F376" t="s">
        <v>13</v>
      </c>
      <c r="G376">
        <v>4</v>
      </c>
      <c r="H376">
        <v>4100</v>
      </c>
      <c r="I376">
        <v>16400</v>
      </c>
    </row>
    <row r="377" spans="1:9" x14ac:dyDescent="0.35">
      <c r="A377" t="s">
        <v>417</v>
      </c>
      <c r="B377" s="1">
        <v>46124</v>
      </c>
      <c r="C377" t="s">
        <v>34</v>
      </c>
      <c r="D377" t="s">
        <v>36</v>
      </c>
      <c r="E377" t="s">
        <v>40</v>
      </c>
      <c r="F377" t="s">
        <v>13</v>
      </c>
      <c r="G377">
        <v>6</v>
      </c>
      <c r="H377">
        <v>6700</v>
      </c>
      <c r="I377">
        <v>40200</v>
      </c>
    </row>
    <row r="378" spans="1:9" x14ac:dyDescent="0.35">
      <c r="A378" t="s">
        <v>418</v>
      </c>
      <c r="B378" s="1">
        <v>46160</v>
      </c>
      <c r="C378" t="s">
        <v>29</v>
      </c>
      <c r="D378" t="s">
        <v>16</v>
      </c>
      <c r="E378" t="s">
        <v>40</v>
      </c>
      <c r="F378" t="s">
        <v>13</v>
      </c>
      <c r="G378">
        <v>1</v>
      </c>
      <c r="H378">
        <v>6900</v>
      </c>
      <c r="I378">
        <v>6900</v>
      </c>
    </row>
    <row r="379" spans="1:9" x14ac:dyDescent="0.35">
      <c r="A379" t="s">
        <v>419</v>
      </c>
      <c r="B379" s="1">
        <v>46061</v>
      </c>
      <c r="C379" t="s">
        <v>46</v>
      </c>
      <c r="D379" t="s">
        <v>74</v>
      </c>
      <c r="E379" t="s">
        <v>26</v>
      </c>
      <c r="F379" t="s">
        <v>18</v>
      </c>
      <c r="G379">
        <v>7</v>
      </c>
      <c r="H379">
        <v>75100</v>
      </c>
      <c r="I379">
        <v>525700</v>
      </c>
    </row>
    <row r="380" spans="1:9" x14ac:dyDescent="0.35">
      <c r="A380" t="s">
        <v>420</v>
      </c>
      <c r="B380" s="1">
        <v>46091</v>
      </c>
      <c r="C380" t="s">
        <v>15</v>
      </c>
      <c r="D380" t="s">
        <v>36</v>
      </c>
      <c r="E380" t="s">
        <v>61</v>
      </c>
      <c r="F380" t="s">
        <v>13</v>
      </c>
      <c r="G380">
        <v>8</v>
      </c>
      <c r="H380">
        <v>7400</v>
      </c>
      <c r="I380">
        <v>59200</v>
      </c>
    </row>
    <row r="381" spans="1:9" x14ac:dyDescent="0.35">
      <c r="A381" t="s">
        <v>421</v>
      </c>
      <c r="B381" s="1">
        <v>46103</v>
      </c>
      <c r="C381" t="s">
        <v>51</v>
      </c>
      <c r="D381" t="s">
        <v>74</v>
      </c>
      <c r="E381" t="s">
        <v>63</v>
      </c>
      <c r="F381" t="s">
        <v>55</v>
      </c>
      <c r="G381">
        <v>7</v>
      </c>
      <c r="H381">
        <v>28600</v>
      </c>
      <c r="I381">
        <v>200200</v>
      </c>
    </row>
    <row r="382" spans="1:9" x14ac:dyDescent="0.35">
      <c r="A382" t="s">
        <v>422</v>
      </c>
      <c r="B382" s="1">
        <v>46156</v>
      </c>
      <c r="C382" t="s">
        <v>10</v>
      </c>
      <c r="D382" t="s">
        <v>74</v>
      </c>
      <c r="E382" t="s">
        <v>12</v>
      </c>
      <c r="F382" t="s">
        <v>13</v>
      </c>
      <c r="G382">
        <v>4</v>
      </c>
      <c r="H382">
        <v>2300</v>
      </c>
      <c r="I382">
        <v>9200</v>
      </c>
    </row>
    <row r="383" spans="1:9" x14ac:dyDescent="0.35">
      <c r="A383" t="s">
        <v>423</v>
      </c>
      <c r="B383" s="1">
        <v>46189</v>
      </c>
      <c r="C383" t="s">
        <v>51</v>
      </c>
      <c r="D383" t="s">
        <v>25</v>
      </c>
      <c r="E383" t="s">
        <v>26</v>
      </c>
      <c r="F383" t="s">
        <v>18</v>
      </c>
      <c r="G383">
        <v>5</v>
      </c>
      <c r="H383">
        <v>94400</v>
      </c>
      <c r="I383">
        <v>472000</v>
      </c>
    </row>
    <row r="384" spans="1:9" x14ac:dyDescent="0.35">
      <c r="A384" t="s">
        <v>424</v>
      </c>
      <c r="B384" s="1">
        <v>46196</v>
      </c>
      <c r="C384" t="s">
        <v>15</v>
      </c>
      <c r="D384" t="s">
        <v>16</v>
      </c>
      <c r="E384" t="s">
        <v>37</v>
      </c>
      <c r="F384" t="s">
        <v>18</v>
      </c>
      <c r="G384">
        <v>2</v>
      </c>
      <c r="H384">
        <v>51400</v>
      </c>
      <c r="I384">
        <v>102800</v>
      </c>
    </row>
    <row r="385" spans="1:9" x14ac:dyDescent="0.35">
      <c r="A385" t="s">
        <v>425</v>
      </c>
      <c r="B385" s="1">
        <v>46065</v>
      </c>
      <c r="C385" t="s">
        <v>10</v>
      </c>
      <c r="D385" t="s">
        <v>74</v>
      </c>
      <c r="E385" t="s">
        <v>40</v>
      </c>
      <c r="F385" t="s">
        <v>13</v>
      </c>
      <c r="G385">
        <v>3</v>
      </c>
      <c r="H385">
        <v>5700</v>
      </c>
      <c r="I385">
        <v>17100</v>
      </c>
    </row>
    <row r="386" spans="1:9" x14ac:dyDescent="0.35">
      <c r="A386" t="s">
        <v>426</v>
      </c>
      <c r="B386" s="1">
        <v>46033</v>
      </c>
      <c r="C386" t="s">
        <v>65</v>
      </c>
      <c r="D386" t="s">
        <v>16</v>
      </c>
      <c r="E386" t="s">
        <v>32</v>
      </c>
      <c r="F386" t="s">
        <v>13</v>
      </c>
      <c r="G386">
        <v>8</v>
      </c>
      <c r="H386">
        <v>5100</v>
      </c>
      <c r="I386">
        <v>40800</v>
      </c>
    </row>
    <row r="387" spans="1:9" x14ac:dyDescent="0.35">
      <c r="A387" t="s">
        <v>427</v>
      </c>
      <c r="B387" s="1">
        <v>46168</v>
      </c>
      <c r="C387" t="s">
        <v>15</v>
      </c>
      <c r="D387" t="s">
        <v>36</v>
      </c>
      <c r="E387" t="s">
        <v>21</v>
      </c>
      <c r="F387" t="s">
        <v>22</v>
      </c>
      <c r="G387">
        <v>5</v>
      </c>
      <c r="H387">
        <v>29900</v>
      </c>
      <c r="I387">
        <v>149500</v>
      </c>
    </row>
    <row r="388" spans="1:9" x14ac:dyDescent="0.35">
      <c r="A388" t="s">
        <v>428</v>
      </c>
      <c r="B388" s="1">
        <v>46081</v>
      </c>
      <c r="C388" t="s">
        <v>51</v>
      </c>
      <c r="D388" t="s">
        <v>49</v>
      </c>
      <c r="E388" t="s">
        <v>54</v>
      </c>
      <c r="F388" t="s">
        <v>55</v>
      </c>
      <c r="G388">
        <v>4</v>
      </c>
      <c r="H388">
        <v>21500</v>
      </c>
      <c r="I388">
        <v>86000</v>
      </c>
    </row>
    <row r="389" spans="1:9" x14ac:dyDescent="0.35">
      <c r="A389" t="s">
        <v>429</v>
      </c>
      <c r="B389" s="1">
        <v>46200</v>
      </c>
      <c r="C389" t="s">
        <v>51</v>
      </c>
      <c r="D389" t="s">
        <v>74</v>
      </c>
      <c r="E389" t="s">
        <v>61</v>
      </c>
      <c r="F389" t="s">
        <v>13</v>
      </c>
      <c r="G389">
        <v>7</v>
      </c>
      <c r="H389">
        <v>8100</v>
      </c>
      <c r="I389">
        <v>56700</v>
      </c>
    </row>
    <row r="390" spans="1:9" x14ac:dyDescent="0.35">
      <c r="A390" t="s">
        <v>430</v>
      </c>
      <c r="B390" s="1">
        <v>46109</v>
      </c>
      <c r="C390" t="s">
        <v>24</v>
      </c>
      <c r="D390" t="s">
        <v>74</v>
      </c>
      <c r="E390" t="s">
        <v>17</v>
      </c>
      <c r="F390" t="s">
        <v>18</v>
      </c>
      <c r="G390">
        <v>4</v>
      </c>
      <c r="H390">
        <v>35100</v>
      </c>
      <c r="I390">
        <v>140400</v>
      </c>
    </row>
    <row r="391" spans="1:9" x14ac:dyDescent="0.35">
      <c r="A391" t="s">
        <v>431</v>
      </c>
      <c r="B391" s="1">
        <v>46026</v>
      </c>
      <c r="C391" t="s">
        <v>15</v>
      </c>
      <c r="D391" t="s">
        <v>49</v>
      </c>
      <c r="E391" t="s">
        <v>32</v>
      </c>
      <c r="F391" t="s">
        <v>13</v>
      </c>
      <c r="G391">
        <v>8</v>
      </c>
      <c r="H391">
        <v>4000</v>
      </c>
      <c r="I391">
        <v>32000</v>
      </c>
    </row>
    <row r="392" spans="1:9" x14ac:dyDescent="0.35">
      <c r="A392" t="s">
        <v>432</v>
      </c>
      <c r="B392" s="1">
        <v>46100</v>
      </c>
      <c r="C392" t="s">
        <v>20</v>
      </c>
      <c r="D392" t="s">
        <v>11</v>
      </c>
      <c r="E392" t="s">
        <v>21</v>
      </c>
      <c r="F392" t="s">
        <v>22</v>
      </c>
      <c r="G392">
        <v>7</v>
      </c>
      <c r="H392">
        <v>31900</v>
      </c>
      <c r="I392">
        <v>223300</v>
      </c>
    </row>
    <row r="393" spans="1:9" x14ac:dyDescent="0.35">
      <c r="A393" t="s">
        <v>433</v>
      </c>
      <c r="B393" s="1">
        <v>46159</v>
      </c>
      <c r="C393" t="s">
        <v>15</v>
      </c>
      <c r="D393" t="s">
        <v>16</v>
      </c>
      <c r="E393" t="s">
        <v>37</v>
      </c>
      <c r="F393" t="s">
        <v>18</v>
      </c>
      <c r="G393">
        <v>6</v>
      </c>
      <c r="H393">
        <v>57600</v>
      </c>
      <c r="I393">
        <v>345600</v>
      </c>
    </row>
    <row r="394" spans="1:9" x14ac:dyDescent="0.35">
      <c r="A394" t="s">
        <v>434</v>
      </c>
      <c r="B394" s="1">
        <v>46169</v>
      </c>
      <c r="C394" t="s">
        <v>39</v>
      </c>
      <c r="D394" t="s">
        <v>74</v>
      </c>
      <c r="E394" t="s">
        <v>61</v>
      </c>
      <c r="F394" t="s">
        <v>13</v>
      </c>
      <c r="G394">
        <v>2</v>
      </c>
      <c r="H394">
        <v>7400</v>
      </c>
      <c r="I394">
        <v>14800</v>
      </c>
    </row>
    <row r="395" spans="1:9" x14ac:dyDescent="0.35">
      <c r="A395" t="s">
        <v>435</v>
      </c>
      <c r="B395" s="1">
        <v>46083</v>
      </c>
      <c r="C395" t="s">
        <v>46</v>
      </c>
      <c r="D395" t="s">
        <v>16</v>
      </c>
      <c r="E395" t="s">
        <v>54</v>
      </c>
      <c r="F395" t="s">
        <v>55</v>
      </c>
      <c r="G395">
        <v>1</v>
      </c>
      <c r="H395">
        <v>25100</v>
      </c>
      <c r="I395">
        <v>25100</v>
      </c>
    </row>
    <row r="396" spans="1:9" x14ac:dyDescent="0.35">
      <c r="A396" t="s">
        <v>436</v>
      </c>
      <c r="B396" s="1">
        <v>46023</v>
      </c>
      <c r="C396" t="s">
        <v>44</v>
      </c>
      <c r="D396" t="s">
        <v>74</v>
      </c>
      <c r="E396" t="s">
        <v>40</v>
      </c>
      <c r="F396" t="s">
        <v>13</v>
      </c>
      <c r="G396">
        <v>3</v>
      </c>
      <c r="H396">
        <v>5900</v>
      </c>
      <c r="I396">
        <v>17700</v>
      </c>
    </row>
    <row r="397" spans="1:9" x14ac:dyDescent="0.35">
      <c r="A397" t="s">
        <v>437</v>
      </c>
      <c r="B397" s="1">
        <v>46167</v>
      </c>
      <c r="C397" t="s">
        <v>65</v>
      </c>
      <c r="D397" t="s">
        <v>16</v>
      </c>
      <c r="E397" t="s">
        <v>32</v>
      </c>
      <c r="F397" t="s">
        <v>13</v>
      </c>
      <c r="G397">
        <v>8</v>
      </c>
      <c r="H397">
        <v>4700</v>
      </c>
      <c r="I397">
        <v>37600</v>
      </c>
    </row>
    <row r="398" spans="1:9" x14ac:dyDescent="0.35">
      <c r="A398" t="s">
        <v>438</v>
      </c>
      <c r="B398" s="1">
        <v>46093</v>
      </c>
      <c r="C398" t="s">
        <v>10</v>
      </c>
      <c r="D398" t="s">
        <v>16</v>
      </c>
      <c r="E398" t="s">
        <v>21</v>
      </c>
      <c r="F398" t="s">
        <v>22</v>
      </c>
      <c r="G398">
        <v>4</v>
      </c>
      <c r="H398">
        <v>31400</v>
      </c>
      <c r="I398">
        <v>125600</v>
      </c>
    </row>
    <row r="399" spans="1:9" x14ac:dyDescent="0.35">
      <c r="A399" t="s">
        <v>439</v>
      </c>
      <c r="B399" s="1">
        <v>46050</v>
      </c>
      <c r="C399" t="s">
        <v>44</v>
      </c>
      <c r="D399" t="s">
        <v>74</v>
      </c>
      <c r="E399" t="s">
        <v>17</v>
      </c>
      <c r="F399" t="s">
        <v>18</v>
      </c>
      <c r="G399">
        <v>3</v>
      </c>
      <c r="H399">
        <v>32500</v>
      </c>
      <c r="I399">
        <v>97500</v>
      </c>
    </row>
    <row r="400" spans="1:9" x14ac:dyDescent="0.35">
      <c r="A400" t="s">
        <v>440</v>
      </c>
      <c r="B400" s="1">
        <v>46202</v>
      </c>
      <c r="C400" t="s">
        <v>65</v>
      </c>
      <c r="D400" t="s">
        <v>16</v>
      </c>
      <c r="E400" t="s">
        <v>26</v>
      </c>
      <c r="F400" t="s">
        <v>18</v>
      </c>
      <c r="G400">
        <v>7</v>
      </c>
      <c r="H400">
        <v>88200</v>
      </c>
      <c r="I400">
        <v>617400</v>
      </c>
    </row>
    <row r="401" spans="1:9" x14ac:dyDescent="0.35">
      <c r="A401" t="s">
        <v>441</v>
      </c>
      <c r="B401" s="1">
        <v>46125</v>
      </c>
      <c r="C401" t="s">
        <v>10</v>
      </c>
      <c r="D401" t="s">
        <v>16</v>
      </c>
      <c r="E401" t="s">
        <v>37</v>
      </c>
      <c r="F401" t="s">
        <v>18</v>
      </c>
      <c r="G401">
        <v>6</v>
      </c>
      <c r="H401">
        <v>52800</v>
      </c>
      <c r="I401">
        <v>316800</v>
      </c>
    </row>
    <row r="402" spans="1:9" x14ac:dyDescent="0.35">
      <c r="A402" t="s">
        <v>442</v>
      </c>
      <c r="B402" s="1">
        <v>46048</v>
      </c>
      <c r="C402" t="s">
        <v>31</v>
      </c>
      <c r="D402" t="s">
        <v>74</v>
      </c>
      <c r="E402" t="s">
        <v>12</v>
      </c>
      <c r="F402" t="s">
        <v>13</v>
      </c>
      <c r="G402">
        <v>2</v>
      </c>
      <c r="H402">
        <v>2500</v>
      </c>
      <c r="I402">
        <v>5000</v>
      </c>
    </row>
    <row r="403" spans="1:9" x14ac:dyDescent="0.35">
      <c r="A403" t="s">
        <v>443</v>
      </c>
      <c r="B403" s="1">
        <v>46161</v>
      </c>
      <c r="C403" t="s">
        <v>31</v>
      </c>
      <c r="D403" t="s">
        <v>74</v>
      </c>
      <c r="E403" t="s">
        <v>54</v>
      </c>
      <c r="F403" t="s">
        <v>55</v>
      </c>
      <c r="G403">
        <v>7</v>
      </c>
      <c r="H403">
        <v>21900</v>
      </c>
      <c r="I403">
        <v>153300</v>
      </c>
    </row>
    <row r="404" spans="1:9" x14ac:dyDescent="0.35">
      <c r="A404" t="s">
        <v>444</v>
      </c>
      <c r="B404" s="1">
        <v>46064</v>
      </c>
      <c r="C404" t="s">
        <v>24</v>
      </c>
      <c r="D404" t="s">
        <v>74</v>
      </c>
      <c r="E404" t="s">
        <v>63</v>
      </c>
      <c r="F404" t="s">
        <v>55</v>
      </c>
      <c r="G404">
        <v>4</v>
      </c>
      <c r="H404">
        <v>26900</v>
      </c>
      <c r="I404">
        <v>107600</v>
      </c>
    </row>
    <row r="405" spans="1:9" x14ac:dyDescent="0.35">
      <c r="A405" t="s">
        <v>445</v>
      </c>
      <c r="B405" s="1">
        <v>46118</v>
      </c>
      <c r="C405" t="s">
        <v>31</v>
      </c>
      <c r="D405" t="s">
        <v>49</v>
      </c>
      <c r="E405" t="s">
        <v>26</v>
      </c>
      <c r="F405" t="s">
        <v>18</v>
      </c>
      <c r="G405">
        <v>8</v>
      </c>
      <c r="H405">
        <v>95700</v>
      </c>
      <c r="I405">
        <v>765600</v>
      </c>
    </row>
    <row r="406" spans="1:9" x14ac:dyDescent="0.35">
      <c r="A406" t="s">
        <v>446</v>
      </c>
      <c r="B406" s="1">
        <v>46124</v>
      </c>
      <c r="C406" t="s">
        <v>29</v>
      </c>
      <c r="D406" t="s">
        <v>49</v>
      </c>
      <c r="E406" t="s">
        <v>63</v>
      </c>
      <c r="F406" t="s">
        <v>55</v>
      </c>
      <c r="G406">
        <v>3</v>
      </c>
      <c r="H406">
        <v>32300</v>
      </c>
      <c r="I406">
        <v>96900</v>
      </c>
    </row>
    <row r="407" spans="1:9" x14ac:dyDescent="0.35">
      <c r="A407" t="s">
        <v>447</v>
      </c>
      <c r="B407" s="1">
        <v>46131</v>
      </c>
      <c r="C407" t="s">
        <v>44</v>
      </c>
      <c r="D407" t="s">
        <v>25</v>
      </c>
      <c r="E407" t="s">
        <v>21</v>
      </c>
      <c r="F407" t="s">
        <v>22</v>
      </c>
      <c r="G407">
        <v>2</v>
      </c>
      <c r="H407">
        <v>32100</v>
      </c>
      <c r="I407">
        <v>64200</v>
      </c>
    </row>
    <row r="408" spans="1:9" x14ac:dyDescent="0.35">
      <c r="A408" t="s">
        <v>448</v>
      </c>
      <c r="B408" s="1">
        <v>46041</v>
      </c>
      <c r="C408" t="s">
        <v>31</v>
      </c>
      <c r="D408" t="s">
        <v>49</v>
      </c>
      <c r="E408" t="s">
        <v>63</v>
      </c>
      <c r="F408" t="s">
        <v>55</v>
      </c>
      <c r="G408">
        <v>4</v>
      </c>
      <c r="H408">
        <v>27000</v>
      </c>
      <c r="I408">
        <v>108000</v>
      </c>
    </row>
    <row r="409" spans="1:9" x14ac:dyDescent="0.35">
      <c r="A409" t="s">
        <v>449</v>
      </c>
      <c r="B409" s="1">
        <v>46048</v>
      </c>
      <c r="C409" t="s">
        <v>34</v>
      </c>
      <c r="D409" t="s">
        <v>74</v>
      </c>
      <c r="E409" t="s">
        <v>26</v>
      </c>
      <c r="F409" t="s">
        <v>18</v>
      </c>
      <c r="G409">
        <v>5</v>
      </c>
      <c r="H409">
        <v>83000</v>
      </c>
      <c r="I409">
        <v>415000</v>
      </c>
    </row>
    <row r="410" spans="1:9" x14ac:dyDescent="0.35">
      <c r="A410" t="s">
        <v>450</v>
      </c>
      <c r="B410" s="1">
        <v>46160</v>
      </c>
      <c r="C410" t="s">
        <v>51</v>
      </c>
      <c r="D410" t="s">
        <v>25</v>
      </c>
      <c r="E410" t="s">
        <v>21</v>
      </c>
      <c r="F410" t="s">
        <v>22</v>
      </c>
      <c r="G410">
        <v>2</v>
      </c>
      <c r="H410">
        <v>29300</v>
      </c>
      <c r="I410">
        <v>58600</v>
      </c>
    </row>
    <row r="411" spans="1:9" x14ac:dyDescent="0.35">
      <c r="A411" t="s">
        <v>451</v>
      </c>
      <c r="B411" s="1">
        <v>46121</v>
      </c>
      <c r="C411" t="s">
        <v>15</v>
      </c>
      <c r="D411" t="s">
        <v>16</v>
      </c>
      <c r="E411" t="s">
        <v>32</v>
      </c>
      <c r="F411" t="s">
        <v>13</v>
      </c>
      <c r="G411">
        <v>2</v>
      </c>
      <c r="H411">
        <v>3900</v>
      </c>
      <c r="I411">
        <v>7800</v>
      </c>
    </row>
    <row r="412" spans="1:9" x14ac:dyDescent="0.35">
      <c r="A412" t="s">
        <v>452</v>
      </c>
      <c r="B412" s="1">
        <v>46041</v>
      </c>
      <c r="C412" t="s">
        <v>31</v>
      </c>
      <c r="D412" t="s">
        <v>16</v>
      </c>
      <c r="E412" t="s">
        <v>40</v>
      </c>
      <c r="F412" t="s">
        <v>13</v>
      </c>
      <c r="G412">
        <v>8</v>
      </c>
      <c r="H412">
        <v>6100</v>
      </c>
      <c r="I412">
        <v>48800</v>
      </c>
    </row>
    <row r="413" spans="1:9" x14ac:dyDescent="0.35">
      <c r="A413" t="s">
        <v>453</v>
      </c>
      <c r="B413" s="1">
        <v>46156</v>
      </c>
      <c r="C413" t="s">
        <v>15</v>
      </c>
      <c r="D413" t="s">
        <v>16</v>
      </c>
      <c r="E413" t="s">
        <v>12</v>
      </c>
      <c r="F413" t="s">
        <v>13</v>
      </c>
      <c r="G413">
        <v>8</v>
      </c>
      <c r="H413">
        <v>2400</v>
      </c>
      <c r="I413">
        <v>19200</v>
      </c>
    </row>
    <row r="414" spans="1:9" x14ac:dyDescent="0.35">
      <c r="A414" t="s">
        <v>454</v>
      </c>
      <c r="B414" s="1">
        <v>46119</v>
      </c>
      <c r="C414" t="s">
        <v>29</v>
      </c>
      <c r="D414" t="s">
        <v>16</v>
      </c>
      <c r="E414" t="s">
        <v>61</v>
      </c>
      <c r="F414" t="s">
        <v>13</v>
      </c>
      <c r="G414">
        <v>7</v>
      </c>
      <c r="H414">
        <v>7600</v>
      </c>
      <c r="I414">
        <v>53200</v>
      </c>
    </row>
    <row r="415" spans="1:9" x14ac:dyDescent="0.35">
      <c r="A415" t="s">
        <v>455</v>
      </c>
      <c r="B415" s="1">
        <v>46147</v>
      </c>
      <c r="C415" t="s">
        <v>44</v>
      </c>
      <c r="D415" t="s">
        <v>16</v>
      </c>
      <c r="E415" t="s">
        <v>32</v>
      </c>
      <c r="F415" t="s">
        <v>13</v>
      </c>
      <c r="G415">
        <v>5</v>
      </c>
      <c r="H415">
        <v>5000</v>
      </c>
      <c r="I415">
        <v>25000</v>
      </c>
    </row>
    <row r="416" spans="1:9" x14ac:dyDescent="0.35">
      <c r="A416" t="s">
        <v>456</v>
      </c>
      <c r="B416" s="1">
        <v>46111</v>
      </c>
      <c r="C416" t="s">
        <v>24</v>
      </c>
      <c r="D416" t="s">
        <v>16</v>
      </c>
      <c r="E416" t="s">
        <v>32</v>
      </c>
      <c r="F416" t="s">
        <v>13</v>
      </c>
      <c r="G416">
        <v>2</v>
      </c>
      <c r="H416">
        <v>3900</v>
      </c>
      <c r="I416">
        <v>7800</v>
      </c>
    </row>
    <row r="417" spans="1:9" x14ac:dyDescent="0.35">
      <c r="A417" t="s">
        <v>457</v>
      </c>
      <c r="B417" s="1">
        <v>46172</v>
      </c>
      <c r="C417" t="s">
        <v>34</v>
      </c>
      <c r="D417" t="s">
        <v>25</v>
      </c>
      <c r="E417" t="s">
        <v>63</v>
      </c>
      <c r="F417" t="s">
        <v>55</v>
      </c>
      <c r="G417">
        <v>3</v>
      </c>
      <c r="H417">
        <v>28500</v>
      </c>
      <c r="I417">
        <v>85500</v>
      </c>
    </row>
    <row r="418" spans="1:9" x14ac:dyDescent="0.35">
      <c r="A418" t="s">
        <v>458</v>
      </c>
      <c r="B418" s="1">
        <v>46173</v>
      </c>
      <c r="C418" t="s">
        <v>44</v>
      </c>
      <c r="D418" t="s">
        <v>16</v>
      </c>
      <c r="E418" t="s">
        <v>17</v>
      </c>
      <c r="F418" t="s">
        <v>18</v>
      </c>
      <c r="G418">
        <v>3</v>
      </c>
      <c r="H418">
        <v>37700</v>
      </c>
      <c r="I418">
        <v>113100</v>
      </c>
    </row>
    <row r="419" spans="1:9" x14ac:dyDescent="0.35">
      <c r="A419" t="s">
        <v>459</v>
      </c>
      <c r="B419" s="1">
        <v>46051</v>
      </c>
      <c r="C419" t="s">
        <v>51</v>
      </c>
      <c r="D419" t="s">
        <v>16</v>
      </c>
      <c r="E419" t="s">
        <v>32</v>
      </c>
      <c r="F419" t="s">
        <v>13</v>
      </c>
      <c r="G419">
        <v>8</v>
      </c>
      <c r="H419">
        <v>5100</v>
      </c>
      <c r="I419">
        <v>40800</v>
      </c>
    </row>
    <row r="420" spans="1:9" x14ac:dyDescent="0.35">
      <c r="A420" t="s">
        <v>460</v>
      </c>
      <c r="B420" s="1">
        <v>46145</v>
      </c>
      <c r="C420" t="s">
        <v>51</v>
      </c>
      <c r="D420" t="s">
        <v>36</v>
      </c>
      <c r="E420" t="s">
        <v>37</v>
      </c>
      <c r="F420" t="s">
        <v>18</v>
      </c>
      <c r="G420">
        <v>7</v>
      </c>
      <c r="H420">
        <v>53400</v>
      </c>
      <c r="I420">
        <v>373800</v>
      </c>
    </row>
    <row r="421" spans="1:9" x14ac:dyDescent="0.35">
      <c r="A421" t="s">
        <v>461</v>
      </c>
      <c r="B421" s="1">
        <v>46153</v>
      </c>
      <c r="C421" t="s">
        <v>24</v>
      </c>
      <c r="D421" t="s">
        <v>74</v>
      </c>
      <c r="E421" t="s">
        <v>26</v>
      </c>
      <c r="F421" t="s">
        <v>18</v>
      </c>
      <c r="G421">
        <v>5</v>
      </c>
      <c r="H421">
        <v>95700</v>
      </c>
      <c r="I421">
        <v>478500</v>
      </c>
    </row>
    <row r="422" spans="1:9" x14ac:dyDescent="0.35">
      <c r="A422" t="s">
        <v>462</v>
      </c>
      <c r="B422" s="1">
        <v>46185</v>
      </c>
      <c r="C422" t="s">
        <v>29</v>
      </c>
      <c r="D422" t="s">
        <v>16</v>
      </c>
      <c r="E422" t="s">
        <v>37</v>
      </c>
      <c r="F422" t="s">
        <v>18</v>
      </c>
      <c r="G422">
        <v>7</v>
      </c>
      <c r="H422">
        <v>54200</v>
      </c>
      <c r="I422">
        <v>379400</v>
      </c>
    </row>
    <row r="423" spans="1:9" x14ac:dyDescent="0.35">
      <c r="A423" t="s">
        <v>463</v>
      </c>
      <c r="B423" s="1">
        <v>46122</v>
      </c>
      <c r="C423" t="s">
        <v>34</v>
      </c>
      <c r="D423" t="s">
        <v>74</v>
      </c>
      <c r="E423" t="s">
        <v>32</v>
      </c>
      <c r="F423" t="s">
        <v>13</v>
      </c>
      <c r="G423">
        <v>4</v>
      </c>
      <c r="H423">
        <v>4600</v>
      </c>
      <c r="I423">
        <v>18400</v>
      </c>
    </row>
    <row r="424" spans="1:9" x14ac:dyDescent="0.35">
      <c r="A424" t="s">
        <v>464</v>
      </c>
      <c r="B424" s="1">
        <v>46035</v>
      </c>
      <c r="C424" t="s">
        <v>29</v>
      </c>
      <c r="D424" t="s">
        <v>25</v>
      </c>
      <c r="E424" t="s">
        <v>32</v>
      </c>
      <c r="F424" t="s">
        <v>13</v>
      </c>
      <c r="G424">
        <v>8</v>
      </c>
      <c r="H424">
        <v>3900</v>
      </c>
      <c r="I424">
        <v>31200</v>
      </c>
    </row>
    <row r="425" spans="1:9" x14ac:dyDescent="0.35">
      <c r="A425" t="s">
        <v>465</v>
      </c>
      <c r="B425" s="1">
        <v>46143</v>
      </c>
      <c r="C425" t="s">
        <v>20</v>
      </c>
      <c r="D425" t="s">
        <v>25</v>
      </c>
      <c r="E425" t="s">
        <v>26</v>
      </c>
      <c r="F425" t="s">
        <v>18</v>
      </c>
      <c r="G425">
        <v>3</v>
      </c>
      <c r="H425">
        <v>85100</v>
      </c>
      <c r="I425">
        <v>255300</v>
      </c>
    </row>
    <row r="426" spans="1:9" x14ac:dyDescent="0.35">
      <c r="A426" t="s">
        <v>466</v>
      </c>
      <c r="B426" s="1">
        <v>46044</v>
      </c>
      <c r="C426" t="s">
        <v>29</v>
      </c>
      <c r="D426" t="s">
        <v>11</v>
      </c>
      <c r="E426" t="s">
        <v>40</v>
      </c>
      <c r="F426" t="s">
        <v>13</v>
      </c>
      <c r="G426">
        <v>7</v>
      </c>
      <c r="H426">
        <v>7300</v>
      </c>
      <c r="I426">
        <v>51100</v>
      </c>
    </row>
    <row r="427" spans="1:9" x14ac:dyDescent="0.35">
      <c r="A427" t="s">
        <v>467</v>
      </c>
      <c r="B427" s="1">
        <v>46101</v>
      </c>
      <c r="C427" t="s">
        <v>29</v>
      </c>
      <c r="D427" t="s">
        <v>25</v>
      </c>
      <c r="E427" t="s">
        <v>26</v>
      </c>
      <c r="F427" t="s">
        <v>18</v>
      </c>
      <c r="G427">
        <v>7</v>
      </c>
      <c r="H427">
        <v>93900</v>
      </c>
      <c r="I427">
        <v>657300</v>
      </c>
    </row>
    <row r="428" spans="1:9" x14ac:dyDescent="0.35">
      <c r="A428" t="s">
        <v>178</v>
      </c>
      <c r="B428" s="1">
        <v>46089</v>
      </c>
      <c r="C428" t="s">
        <v>39</v>
      </c>
      <c r="D428" t="s">
        <v>49</v>
      </c>
      <c r="E428" t="s">
        <v>61</v>
      </c>
      <c r="F428" t="s">
        <v>13</v>
      </c>
      <c r="G428">
        <v>4</v>
      </c>
      <c r="H428">
        <v>7700</v>
      </c>
      <c r="I428">
        <v>30800</v>
      </c>
    </row>
    <row r="429" spans="1:9" x14ac:dyDescent="0.35">
      <c r="A429" t="s">
        <v>468</v>
      </c>
      <c r="B429" s="1">
        <v>46060</v>
      </c>
      <c r="C429" t="s">
        <v>10</v>
      </c>
      <c r="D429" t="s">
        <v>36</v>
      </c>
      <c r="E429" t="s">
        <v>37</v>
      </c>
      <c r="F429" t="s">
        <v>18</v>
      </c>
      <c r="G429">
        <v>6</v>
      </c>
      <c r="H429">
        <v>62500</v>
      </c>
      <c r="I429">
        <v>375000</v>
      </c>
    </row>
    <row r="430" spans="1:9" x14ac:dyDescent="0.35">
      <c r="A430" t="s">
        <v>469</v>
      </c>
      <c r="B430" s="1">
        <v>46192</v>
      </c>
      <c r="C430" t="s">
        <v>34</v>
      </c>
      <c r="D430" t="s">
        <v>470</v>
      </c>
      <c r="E430" t="s">
        <v>32</v>
      </c>
      <c r="F430" t="s">
        <v>13</v>
      </c>
      <c r="G430">
        <v>2</v>
      </c>
      <c r="H430">
        <v>4200</v>
      </c>
      <c r="I430">
        <v>8400</v>
      </c>
    </row>
    <row r="431" spans="1:9" x14ac:dyDescent="0.35">
      <c r="A431" t="s">
        <v>471</v>
      </c>
      <c r="B431" s="1">
        <v>46199</v>
      </c>
      <c r="C431" t="s">
        <v>46</v>
      </c>
      <c r="D431" t="s">
        <v>74</v>
      </c>
      <c r="E431" t="s">
        <v>54</v>
      </c>
      <c r="F431" t="s">
        <v>55</v>
      </c>
      <c r="G431">
        <v>1</v>
      </c>
      <c r="H431">
        <v>19400</v>
      </c>
      <c r="I431">
        <v>19400</v>
      </c>
    </row>
    <row r="432" spans="1:9" x14ac:dyDescent="0.35">
      <c r="A432" t="s">
        <v>472</v>
      </c>
      <c r="B432" s="1">
        <v>46157</v>
      </c>
      <c r="C432" t="s">
        <v>46</v>
      </c>
      <c r="D432" t="s">
        <v>25</v>
      </c>
      <c r="E432" t="s">
        <v>32</v>
      </c>
      <c r="F432" t="s">
        <v>13</v>
      </c>
      <c r="G432">
        <v>2</v>
      </c>
      <c r="H432">
        <v>5100</v>
      </c>
      <c r="I432">
        <v>10200</v>
      </c>
    </row>
    <row r="433" spans="1:9" x14ac:dyDescent="0.35">
      <c r="A433" t="s">
        <v>473</v>
      </c>
      <c r="B433" s="1">
        <v>46196</v>
      </c>
      <c r="C433" t="s">
        <v>44</v>
      </c>
      <c r="D433" t="s">
        <v>25</v>
      </c>
      <c r="E433" t="s">
        <v>61</v>
      </c>
      <c r="F433" t="s">
        <v>13</v>
      </c>
      <c r="G433">
        <v>1</v>
      </c>
      <c r="H433">
        <v>7800</v>
      </c>
      <c r="I433">
        <v>7800</v>
      </c>
    </row>
    <row r="434" spans="1:9" x14ac:dyDescent="0.35">
      <c r="A434" t="s">
        <v>474</v>
      </c>
      <c r="B434" s="1">
        <v>46178</v>
      </c>
      <c r="C434" t="s">
        <v>24</v>
      </c>
      <c r="D434" t="s">
        <v>16</v>
      </c>
      <c r="E434" t="s">
        <v>12</v>
      </c>
      <c r="F434" t="s">
        <v>13</v>
      </c>
      <c r="G434">
        <v>3</v>
      </c>
      <c r="H434">
        <v>2500</v>
      </c>
      <c r="I434">
        <v>7500</v>
      </c>
    </row>
    <row r="435" spans="1:9" x14ac:dyDescent="0.35">
      <c r="A435" t="s">
        <v>475</v>
      </c>
      <c r="B435" s="1">
        <v>46155</v>
      </c>
      <c r="C435" t="s">
        <v>65</v>
      </c>
      <c r="D435" t="s">
        <v>74</v>
      </c>
      <c r="E435" t="s">
        <v>61</v>
      </c>
      <c r="F435" t="s">
        <v>13</v>
      </c>
      <c r="G435">
        <v>1</v>
      </c>
      <c r="H435">
        <v>8500</v>
      </c>
      <c r="I435">
        <v>8500</v>
      </c>
    </row>
    <row r="436" spans="1:9" x14ac:dyDescent="0.35">
      <c r="A436" t="s">
        <v>476</v>
      </c>
      <c r="B436" s="1">
        <v>46199</v>
      </c>
      <c r="C436" t="s">
        <v>34</v>
      </c>
      <c r="D436" t="s">
        <v>36</v>
      </c>
      <c r="E436" t="s">
        <v>17</v>
      </c>
      <c r="F436" t="s">
        <v>18</v>
      </c>
      <c r="G436">
        <v>7</v>
      </c>
      <c r="H436">
        <v>35900</v>
      </c>
      <c r="I436">
        <v>251300</v>
      </c>
    </row>
    <row r="437" spans="1:9" x14ac:dyDescent="0.35">
      <c r="A437" t="s">
        <v>477</v>
      </c>
      <c r="B437" s="1">
        <v>46102</v>
      </c>
      <c r="C437" t="s">
        <v>44</v>
      </c>
      <c r="D437" t="s">
        <v>11</v>
      </c>
      <c r="E437" t="s">
        <v>32</v>
      </c>
      <c r="F437" t="s">
        <v>13</v>
      </c>
      <c r="G437">
        <v>4</v>
      </c>
      <c r="H437">
        <v>5000</v>
      </c>
      <c r="I437">
        <v>20000</v>
      </c>
    </row>
    <row r="438" spans="1:9" x14ac:dyDescent="0.35">
      <c r="A438" t="s">
        <v>478</v>
      </c>
      <c r="B438" s="1">
        <v>46064</v>
      </c>
      <c r="C438" t="s">
        <v>10</v>
      </c>
      <c r="D438" t="s">
        <v>16</v>
      </c>
      <c r="E438" t="s">
        <v>54</v>
      </c>
      <c r="F438" t="s">
        <v>55</v>
      </c>
      <c r="G438">
        <v>2</v>
      </c>
      <c r="H438">
        <v>20600</v>
      </c>
      <c r="I438">
        <v>41200</v>
      </c>
    </row>
    <row r="439" spans="1:9" x14ac:dyDescent="0.35">
      <c r="A439" t="s">
        <v>479</v>
      </c>
      <c r="B439" s="1">
        <v>46186</v>
      </c>
      <c r="C439" t="s">
        <v>44</v>
      </c>
      <c r="D439" t="s">
        <v>74</v>
      </c>
      <c r="E439" t="s">
        <v>37</v>
      </c>
      <c r="F439" t="s">
        <v>18</v>
      </c>
      <c r="G439">
        <v>5</v>
      </c>
      <c r="H439">
        <v>63100</v>
      </c>
      <c r="I439">
        <v>315500</v>
      </c>
    </row>
    <row r="440" spans="1:9" x14ac:dyDescent="0.35">
      <c r="A440" t="s">
        <v>480</v>
      </c>
      <c r="B440" s="1">
        <v>46196</v>
      </c>
      <c r="C440" t="s">
        <v>24</v>
      </c>
      <c r="D440" t="s">
        <v>25</v>
      </c>
      <c r="E440" t="s">
        <v>26</v>
      </c>
      <c r="F440" t="s">
        <v>18</v>
      </c>
      <c r="G440">
        <v>8</v>
      </c>
      <c r="H440">
        <v>95200</v>
      </c>
      <c r="I440">
        <v>761600</v>
      </c>
    </row>
    <row r="441" spans="1:9" x14ac:dyDescent="0.35">
      <c r="A441" t="s">
        <v>481</v>
      </c>
      <c r="B441" s="1">
        <v>46136</v>
      </c>
      <c r="C441" t="s">
        <v>34</v>
      </c>
      <c r="D441" t="s">
        <v>49</v>
      </c>
      <c r="E441" t="s">
        <v>40</v>
      </c>
      <c r="F441" t="s">
        <v>13</v>
      </c>
      <c r="G441">
        <v>2</v>
      </c>
      <c r="H441">
        <v>6200</v>
      </c>
      <c r="I441">
        <v>12400</v>
      </c>
    </row>
    <row r="442" spans="1:9" x14ac:dyDescent="0.35">
      <c r="A442" t="s">
        <v>482</v>
      </c>
      <c r="B442" s="1">
        <v>46160</v>
      </c>
      <c r="C442" t="s">
        <v>46</v>
      </c>
      <c r="D442" t="s">
        <v>49</v>
      </c>
      <c r="E442" t="s">
        <v>40</v>
      </c>
      <c r="F442" t="s">
        <v>13</v>
      </c>
      <c r="G442">
        <v>2</v>
      </c>
      <c r="H442">
        <v>6700</v>
      </c>
      <c r="I442">
        <v>13400</v>
      </c>
    </row>
    <row r="443" spans="1:9" x14ac:dyDescent="0.35">
      <c r="A443" t="s">
        <v>483</v>
      </c>
      <c r="B443" s="1">
        <v>46050</v>
      </c>
      <c r="C443" t="s">
        <v>44</v>
      </c>
      <c r="D443" t="s">
        <v>36</v>
      </c>
      <c r="E443" t="s">
        <v>17</v>
      </c>
      <c r="F443" t="s">
        <v>18</v>
      </c>
      <c r="G443">
        <v>6</v>
      </c>
      <c r="H443">
        <v>32400</v>
      </c>
      <c r="I443">
        <v>194400</v>
      </c>
    </row>
    <row r="444" spans="1:9" x14ac:dyDescent="0.35">
      <c r="A444" t="s">
        <v>484</v>
      </c>
      <c r="B444" s="1">
        <v>46046</v>
      </c>
      <c r="C444" t="s">
        <v>51</v>
      </c>
      <c r="D444" t="s">
        <v>36</v>
      </c>
      <c r="E444" t="s">
        <v>17</v>
      </c>
      <c r="F444" t="s">
        <v>18</v>
      </c>
      <c r="G444">
        <v>2</v>
      </c>
      <c r="H444">
        <v>38500</v>
      </c>
      <c r="I444">
        <v>77000</v>
      </c>
    </row>
    <row r="445" spans="1:9" x14ac:dyDescent="0.35">
      <c r="A445" t="s">
        <v>485</v>
      </c>
      <c r="B445" s="1">
        <v>46056</v>
      </c>
      <c r="C445" t="s">
        <v>65</v>
      </c>
      <c r="D445" t="s">
        <v>49</v>
      </c>
      <c r="E445" t="s">
        <v>63</v>
      </c>
      <c r="F445" t="s">
        <v>55</v>
      </c>
      <c r="G445">
        <v>1</v>
      </c>
      <c r="H445">
        <v>29400</v>
      </c>
      <c r="I445">
        <v>29400</v>
      </c>
    </row>
    <row r="446" spans="1:9" x14ac:dyDescent="0.35">
      <c r="A446" t="s">
        <v>486</v>
      </c>
      <c r="B446" s="1">
        <v>46086</v>
      </c>
      <c r="C446" t="s">
        <v>51</v>
      </c>
      <c r="D446" t="s">
        <v>16</v>
      </c>
      <c r="E446" t="s">
        <v>37</v>
      </c>
      <c r="F446" t="s">
        <v>18</v>
      </c>
      <c r="G446">
        <v>1</v>
      </c>
      <c r="H446">
        <v>48800</v>
      </c>
      <c r="I446">
        <v>48800</v>
      </c>
    </row>
    <row r="447" spans="1:9" x14ac:dyDescent="0.35">
      <c r="A447" t="s">
        <v>487</v>
      </c>
      <c r="B447" s="1">
        <v>46106</v>
      </c>
      <c r="C447" t="s">
        <v>39</v>
      </c>
      <c r="D447" t="s">
        <v>74</v>
      </c>
      <c r="E447" t="s">
        <v>12</v>
      </c>
      <c r="F447" t="s">
        <v>13</v>
      </c>
      <c r="G447">
        <v>7</v>
      </c>
      <c r="H447">
        <v>2600</v>
      </c>
      <c r="I447">
        <v>18200</v>
      </c>
    </row>
    <row r="448" spans="1:9" x14ac:dyDescent="0.35">
      <c r="A448" t="s">
        <v>488</v>
      </c>
      <c r="B448" s="1">
        <v>46101</v>
      </c>
      <c r="C448" t="s">
        <v>51</v>
      </c>
      <c r="D448" t="s">
        <v>16</v>
      </c>
      <c r="E448" t="s">
        <v>17</v>
      </c>
      <c r="F448" t="s">
        <v>18</v>
      </c>
      <c r="G448">
        <v>8</v>
      </c>
      <c r="H448">
        <v>38600</v>
      </c>
      <c r="I448">
        <v>308800</v>
      </c>
    </row>
    <row r="449" spans="1:9" x14ac:dyDescent="0.35">
      <c r="A449" t="s">
        <v>489</v>
      </c>
      <c r="B449" s="1">
        <v>46079</v>
      </c>
      <c r="C449" t="s">
        <v>46</v>
      </c>
      <c r="D449" t="s">
        <v>25</v>
      </c>
      <c r="E449" t="s">
        <v>26</v>
      </c>
      <c r="F449" t="s">
        <v>18</v>
      </c>
      <c r="G449">
        <v>1</v>
      </c>
      <c r="H449">
        <v>93400</v>
      </c>
      <c r="I449">
        <v>93400</v>
      </c>
    </row>
    <row r="450" spans="1:9" x14ac:dyDescent="0.35">
      <c r="A450" t="s">
        <v>490</v>
      </c>
      <c r="B450" s="1">
        <v>46166</v>
      </c>
      <c r="C450" t="s">
        <v>44</v>
      </c>
      <c r="D450" t="s">
        <v>74</v>
      </c>
      <c r="E450" t="s">
        <v>21</v>
      </c>
      <c r="F450" t="s">
        <v>22</v>
      </c>
      <c r="G450">
        <v>3</v>
      </c>
      <c r="H450">
        <v>29700</v>
      </c>
      <c r="I450">
        <v>89100</v>
      </c>
    </row>
    <row r="451" spans="1:9" x14ac:dyDescent="0.35">
      <c r="A451" t="s">
        <v>491</v>
      </c>
      <c r="B451" s="1">
        <v>46134</v>
      </c>
      <c r="C451" t="s">
        <v>29</v>
      </c>
      <c r="D451" t="s">
        <v>11</v>
      </c>
      <c r="E451" t="s">
        <v>40</v>
      </c>
      <c r="F451" t="s">
        <v>13</v>
      </c>
      <c r="G451">
        <v>4</v>
      </c>
      <c r="H451">
        <v>7000</v>
      </c>
      <c r="I451">
        <v>28000</v>
      </c>
    </row>
    <row r="452" spans="1:9" x14ac:dyDescent="0.35">
      <c r="A452" t="s">
        <v>492</v>
      </c>
      <c r="B452" s="1">
        <v>46050</v>
      </c>
      <c r="C452" t="s">
        <v>20</v>
      </c>
      <c r="D452" t="s">
        <v>36</v>
      </c>
      <c r="E452" t="s">
        <v>63</v>
      </c>
      <c r="F452" t="s">
        <v>55</v>
      </c>
      <c r="G452">
        <v>5</v>
      </c>
      <c r="H452">
        <v>28200</v>
      </c>
      <c r="I452">
        <v>141000</v>
      </c>
    </row>
    <row r="453" spans="1:9" x14ac:dyDescent="0.35">
      <c r="A453" t="s">
        <v>493</v>
      </c>
      <c r="B453" s="1">
        <v>46066</v>
      </c>
      <c r="C453" t="s">
        <v>34</v>
      </c>
      <c r="D453" t="s">
        <v>49</v>
      </c>
      <c r="E453" t="s">
        <v>12</v>
      </c>
      <c r="F453" t="s">
        <v>13</v>
      </c>
      <c r="G453">
        <v>2</v>
      </c>
      <c r="H453">
        <v>2100</v>
      </c>
      <c r="I453">
        <v>4200</v>
      </c>
    </row>
    <row r="454" spans="1:9" x14ac:dyDescent="0.35">
      <c r="A454" t="s">
        <v>494</v>
      </c>
      <c r="B454" s="1">
        <v>46046</v>
      </c>
      <c r="C454" t="s">
        <v>39</v>
      </c>
      <c r="D454" t="s">
        <v>36</v>
      </c>
      <c r="E454" t="s">
        <v>12</v>
      </c>
      <c r="F454" t="s">
        <v>13</v>
      </c>
      <c r="G454">
        <v>8</v>
      </c>
      <c r="H454">
        <v>2700</v>
      </c>
      <c r="I454">
        <v>21600</v>
      </c>
    </row>
    <row r="455" spans="1:9" x14ac:dyDescent="0.35">
      <c r="A455" t="s">
        <v>495</v>
      </c>
      <c r="B455" s="1">
        <v>46046</v>
      </c>
      <c r="C455" t="s">
        <v>44</v>
      </c>
      <c r="D455" t="s">
        <v>16</v>
      </c>
      <c r="E455" t="s">
        <v>21</v>
      </c>
      <c r="F455" t="s">
        <v>22</v>
      </c>
      <c r="G455">
        <v>1</v>
      </c>
      <c r="H455">
        <v>31100</v>
      </c>
      <c r="I455">
        <v>31100</v>
      </c>
    </row>
    <row r="456" spans="1:9" x14ac:dyDescent="0.35">
      <c r="A456" t="s">
        <v>496</v>
      </c>
      <c r="B456" s="1">
        <v>46061</v>
      </c>
      <c r="C456" t="s">
        <v>46</v>
      </c>
      <c r="D456" t="s">
        <v>49</v>
      </c>
      <c r="E456" t="s">
        <v>54</v>
      </c>
      <c r="F456" t="s">
        <v>55</v>
      </c>
      <c r="G456">
        <v>4</v>
      </c>
      <c r="H456">
        <v>22500</v>
      </c>
      <c r="I456">
        <v>90000</v>
      </c>
    </row>
    <row r="457" spans="1:9" x14ac:dyDescent="0.35">
      <c r="A457" t="s">
        <v>497</v>
      </c>
      <c r="B457" s="1">
        <v>46176</v>
      </c>
      <c r="C457" t="s">
        <v>24</v>
      </c>
      <c r="D457" t="s">
        <v>11</v>
      </c>
      <c r="E457" t="s">
        <v>54</v>
      </c>
      <c r="F457" t="s">
        <v>55</v>
      </c>
      <c r="G457">
        <v>3</v>
      </c>
      <c r="H457">
        <v>21200</v>
      </c>
      <c r="I457">
        <v>63600</v>
      </c>
    </row>
    <row r="458" spans="1:9" x14ac:dyDescent="0.35">
      <c r="A458" t="s">
        <v>498</v>
      </c>
      <c r="B458" s="1">
        <v>46079</v>
      </c>
      <c r="C458" t="s">
        <v>39</v>
      </c>
      <c r="D458" t="s">
        <v>25</v>
      </c>
      <c r="E458" t="s">
        <v>37</v>
      </c>
      <c r="F458" t="s">
        <v>18</v>
      </c>
      <c r="G458">
        <v>5</v>
      </c>
      <c r="H458">
        <v>59100</v>
      </c>
      <c r="I458">
        <v>295500</v>
      </c>
    </row>
    <row r="459" spans="1:9" x14ac:dyDescent="0.35">
      <c r="A459" t="s">
        <v>499</v>
      </c>
      <c r="B459" s="1">
        <v>46097</v>
      </c>
      <c r="C459" t="s">
        <v>34</v>
      </c>
      <c r="D459" t="s">
        <v>49</v>
      </c>
      <c r="E459" t="s">
        <v>12</v>
      </c>
      <c r="F459" t="s">
        <v>13</v>
      </c>
      <c r="G459">
        <v>4</v>
      </c>
      <c r="H459">
        <v>2600</v>
      </c>
      <c r="I459">
        <v>10400</v>
      </c>
    </row>
    <row r="460" spans="1:9" x14ac:dyDescent="0.35">
      <c r="A460" t="s">
        <v>500</v>
      </c>
      <c r="B460" s="1">
        <v>46044</v>
      </c>
      <c r="C460" t="s">
        <v>34</v>
      </c>
      <c r="D460" t="s">
        <v>16</v>
      </c>
      <c r="E460" t="s">
        <v>17</v>
      </c>
      <c r="F460" t="s">
        <v>18</v>
      </c>
      <c r="G460">
        <v>5</v>
      </c>
      <c r="H460">
        <v>36200</v>
      </c>
      <c r="I460">
        <v>181000</v>
      </c>
    </row>
    <row r="461" spans="1:9" x14ac:dyDescent="0.35">
      <c r="A461" t="s">
        <v>501</v>
      </c>
      <c r="B461" s="1">
        <v>46181</v>
      </c>
      <c r="C461" t="s">
        <v>29</v>
      </c>
      <c r="D461" t="s">
        <v>11</v>
      </c>
      <c r="E461" t="s">
        <v>54</v>
      </c>
      <c r="F461" t="s">
        <v>55</v>
      </c>
      <c r="G461">
        <v>1</v>
      </c>
      <c r="H461">
        <v>22900</v>
      </c>
      <c r="I461">
        <v>22900</v>
      </c>
    </row>
    <row r="462" spans="1:9" x14ac:dyDescent="0.35">
      <c r="A462" t="s">
        <v>502</v>
      </c>
      <c r="B462" s="1">
        <v>46032</v>
      </c>
      <c r="C462" t="s">
        <v>46</v>
      </c>
      <c r="D462" t="s">
        <v>16</v>
      </c>
      <c r="E462" t="s">
        <v>63</v>
      </c>
      <c r="F462" t="s">
        <v>55</v>
      </c>
      <c r="G462">
        <v>4</v>
      </c>
      <c r="H462">
        <v>30300</v>
      </c>
      <c r="I462">
        <v>121200</v>
      </c>
    </row>
    <row r="463" spans="1:9" x14ac:dyDescent="0.35">
      <c r="A463" t="s">
        <v>503</v>
      </c>
      <c r="B463" s="1">
        <v>46038</v>
      </c>
      <c r="C463" t="s">
        <v>24</v>
      </c>
      <c r="D463" t="s">
        <v>74</v>
      </c>
      <c r="E463" t="s">
        <v>12</v>
      </c>
      <c r="F463" t="s">
        <v>13</v>
      </c>
      <c r="G463">
        <v>7</v>
      </c>
      <c r="H463">
        <v>2400</v>
      </c>
      <c r="I463">
        <v>16800</v>
      </c>
    </row>
    <row r="464" spans="1:9" x14ac:dyDescent="0.35">
      <c r="A464" t="s">
        <v>504</v>
      </c>
      <c r="B464" s="1">
        <v>46170</v>
      </c>
      <c r="C464" t="s">
        <v>65</v>
      </c>
      <c r="D464" t="s">
        <v>49</v>
      </c>
      <c r="E464" t="s">
        <v>54</v>
      </c>
      <c r="F464" t="s">
        <v>55</v>
      </c>
      <c r="G464">
        <v>2</v>
      </c>
      <c r="H464">
        <v>21200</v>
      </c>
      <c r="I464">
        <v>42400</v>
      </c>
    </row>
    <row r="465" spans="1:9" x14ac:dyDescent="0.35">
      <c r="A465" t="s">
        <v>505</v>
      </c>
      <c r="B465" s="1">
        <v>46132</v>
      </c>
      <c r="C465" t="s">
        <v>34</v>
      </c>
      <c r="D465" t="s">
        <v>49</v>
      </c>
      <c r="E465" t="s">
        <v>17</v>
      </c>
      <c r="F465" t="s">
        <v>18</v>
      </c>
      <c r="G465">
        <v>1</v>
      </c>
      <c r="H465">
        <v>33400</v>
      </c>
      <c r="I465">
        <v>33400</v>
      </c>
    </row>
    <row r="466" spans="1:9" x14ac:dyDescent="0.35">
      <c r="A466" t="s">
        <v>506</v>
      </c>
      <c r="B466" s="1">
        <v>46035</v>
      </c>
      <c r="C466" t="s">
        <v>34</v>
      </c>
      <c r="D466" t="s">
        <v>36</v>
      </c>
      <c r="E466" t="s">
        <v>40</v>
      </c>
      <c r="F466" t="s">
        <v>13</v>
      </c>
      <c r="G466">
        <v>1</v>
      </c>
      <c r="H466">
        <v>6700</v>
      </c>
      <c r="I466">
        <v>6700</v>
      </c>
    </row>
    <row r="467" spans="1:9" x14ac:dyDescent="0.35">
      <c r="A467" t="s">
        <v>507</v>
      </c>
      <c r="B467" s="1">
        <v>46165</v>
      </c>
      <c r="C467" t="s">
        <v>34</v>
      </c>
      <c r="D467" t="s">
        <v>49</v>
      </c>
      <c r="E467" t="s">
        <v>32</v>
      </c>
      <c r="F467" t="s">
        <v>13</v>
      </c>
      <c r="G467">
        <v>8</v>
      </c>
      <c r="H467">
        <v>4100</v>
      </c>
      <c r="I467">
        <v>32800</v>
      </c>
    </row>
    <row r="468" spans="1:9" x14ac:dyDescent="0.35">
      <c r="A468" t="s">
        <v>508</v>
      </c>
      <c r="B468" s="1">
        <v>46163</v>
      </c>
      <c r="C468" t="s">
        <v>20</v>
      </c>
      <c r="D468" t="s">
        <v>74</v>
      </c>
      <c r="E468" t="s">
        <v>61</v>
      </c>
      <c r="F468" t="s">
        <v>13</v>
      </c>
      <c r="G468">
        <v>6</v>
      </c>
      <c r="H468">
        <v>7800</v>
      </c>
      <c r="I468">
        <v>46800</v>
      </c>
    </row>
    <row r="469" spans="1:9" x14ac:dyDescent="0.35">
      <c r="A469" t="s">
        <v>509</v>
      </c>
      <c r="B469" s="1">
        <v>46120</v>
      </c>
      <c r="C469" t="s">
        <v>10</v>
      </c>
      <c r="D469" t="s">
        <v>16</v>
      </c>
      <c r="E469" t="s">
        <v>21</v>
      </c>
      <c r="F469" t="s">
        <v>22</v>
      </c>
      <c r="G469">
        <v>6</v>
      </c>
      <c r="H469">
        <v>30200</v>
      </c>
      <c r="I469">
        <v>181200</v>
      </c>
    </row>
    <row r="470" spans="1:9" x14ac:dyDescent="0.35">
      <c r="A470" t="s">
        <v>510</v>
      </c>
      <c r="B470" s="1">
        <v>46130</v>
      </c>
      <c r="C470" t="s">
        <v>20</v>
      </c>
      <c r="D470" t="s">
        <v>36</v>
      </c>
      <c r="E470" t="s">
        <v>17</v>
      </c>
      <c r="F470" t="s">
        <v>18</v>
      </c>
      <c r="G470">
        <v>6</v>
      </c>
      <c r="H470">
        <v>29900</v>
      </c>
      <c r="I470">
        <v>179400</v>
      </c>
    </row>
    <row r="471" spans="1:9" x14ac:dyDescent="0.35">
      <c r="A471" t="s">
        <v>511</v>
      </c>
      <c r="B471" s="1">
        <v>46088</v>
      </c>
      <c r="C471" t="s">
        <v>65</v>
      </c>
      <c r="D471" t="s">
        <v>49</v>
      </c>
      <c r="E471" t="s">
        <v>37</v>
      </c>
      <c r="F471" t="s">
        <v>18</v>
      </c>
      <c r="G471">
        <v>3</v>
      </c>
      <c r="H471">
        <v>53200</v>
      </c>
      <c r="I471">
        <v>159600</v>
      </c>
    </row>
    <row r="472" spans="1:9" x14ac:dyDescent="0.35">
      <c r="A472" t="s">
        <v>512</v>
      </c>
      <c r="B472" s="1">
        <v>46174</v>
      </c>
      <c r="C472" t="s">
        <v>20</v>
      </c>
      <c r="D472" t="s">
        <v>74</v>
      </c>
      <c r="E472" t="s">
        <v>26</v>
      </c>
      <c r="F472" t="s">
        <v>18</v>
      </c>
      <c r="G472">
        <v>3</v>
      </c>
      <c r="H472">
        <v>74900</v>
      </c>
      <c r="I472">
        <v>224700</v>
      </c>
    </row>
    <row r="473" spans="1:9" x14ac:dyDescent="0.35">
      <c r="A473" t="s">
        <v>513</v>
      </c>
      <c r="B473" s="1">
        <v>46046</v>
      </c>
      <c r="C473" t="s">
        <v>31</v>
      </c>
      <c r="D473" t="s">
        <v>49</v>
      </c>
      <c r="E473" t="s">
        <v>37</v>
      </c>
      <c r="F473" t="s">
        <v>18</v>
      </c>
      <c r="G473">
        <v>6</v>
      </c>
      <c r="H473">
        <v>52700</v>
      </c>
      <c r="I473">
        <v>316200</v>
      </c>
    </row>
    <row r="474" spans="1:9" x14ac:dyDescent="0.35">
      <c r="A474" t="s">
        <v>514</v>
      </c>
      <c r="B474" s="1">
        <v>46161</v>
      </c>
      <c r="C474" t="s">
        <v>65</v>
      </c>
      <c r="D474" t="s">
        <v>36</v>
      </c>
      <c r="E474" t="s">
        <v>26</v>
      </c>
      <c r="F474" t="s">
        <v>18</v>
      </c>
      <c r="G474">
        <v>7</v>
      </c>
      <c r="H474">
        <v>83400</v>
      </c>
      <c r="I474">
        <v>583800</v>
      </c>
    </row>
    <row r="475" spans="1:9" x14ac:dyDescent="0.35">
      <c r="A475" t="s">
        <v>515</v>
      </c>
      <c r="B475" s="1">
        <v>46086</v>
      </c>
      <c r="C475" t="s">
        <v>34</v>
      </c>
      <c r="D475" t="s">
        <v>49</v>
      </c>
      <c r="E475" t="s">
        <v>61</v>
      </c>
      <c r="F475" t="s">
        <v>13</v>
      </c>
      <c r="G475">
        <v>8</v>
      </c>
      <c r="H475">
        <v>7400</v>
      </c>
      <c r="I475">
        <v>59200</v>
      </c>
    </row>
    <row r="476" spans="1:9" x14ac:dyDescent="0.35">
      <c r="A476" t="s">
        <v>516</v>
      </c>
      <c r="B476" s="1">
        <v>46201</v>
      </c>
      <c r="C476" t="s">
        <v>39</v>
      </c>
      <c r="D476" t="s">
        <v>74</v>
      </c>
      <c r="E476" t="s">
        <v>63</v>
      </c>
      <c r="F476" t="s">
        <v>55</v>
      </c>
      <c r="G476">
        <v>6</v>
      </c>
      <c r="H476">
        <v>32800</v>
      </c>
      <c r="I476">
        <v>196800</v>
      </c>
    </row>
    <row r="477" spans="1:9" x14ac:dyDescent="0.35">
      <c r="A477" t="s">
        <v>517</v>
      </c>
      <c r="B477" s="1">
        <v>46086</v>
      </c>
      <c r="C477" t="s">
        <v>29</v>
      </c>
      <c r="D477" t="s">
        <v>16</v>
      </c>
      <c r="E477" t="s">
        <v>54</v>
      </c>
      <c r="F477" t="s">
        <v>55</v>
      </c>
      <c r="G477">
        <v>8</v>
      </c>
      <c r="H477">
        <v>19000</v>
      </c>
      <c r="I477">
        <v>152000</v>
      </c>
    </row>
    <row r="478" spans="1:9" x14ac:dyDescent="0.35">
      <c r="A478" t="s">
        <v>518</v>
      </c>
      <c r="B478" s="1">
        <v>46154</v>
      </c>
      <c r="C478" t="s">
        <v>24</v>
      </c>
      <c r="D478" t="s">
        <v>36</v>
      </c>
      <c r="E478" t="s">
        <v>37</v>
      </c>
      <c r="F478" t="s">
        <v>18</v>
      </c>
      <c r="G478">
        <v>3</v>
      </c>
      <c r="H478">
        <v>59300</v>
      </c>
      <c r="I478">
        <v>177900</v>
      </c>
    </row>
    <row r="479" spans="1:9" x14ac:dyDescent="0.35">
      <c r="A479" t="s">
        <v>519</v>
      </c>
      <c r="B479" s="1">
        <v>46159</v>
      </c>
      <c r="C479" t="s">
        <v>44</v>
      </c>
      <c r="D479" t="s">
        <v>36</v>
      </c>
      <c r="E479" t="s">
        <v>32</v>
      </c>
      <c r="F479" t="s">
        <v>13</v>
      </c>
      <c r="G479">
        <v>6</v>
      </c>
      <c r="H479">
        <v>3900</v>
      </c>
      <c r="I479">
        <v>23400</v>
      </c>
    </row>
    <row r="480" spans="1:9" x14ac:dyDescent="0.35">
      <c r="A480" t="s">
        <v>520</v>
      </c>
      <c r="B480" s="1">
        <v>46148</v>
      </c>
      <c r="C480" t="s">
        <v>65</v>
      </c>
      <c r="D480" t="s">
        <v>74</v>
      </c>
      <c r="E480" t="s">
        <v>54</v>
      </c>
      <c r="F480" t="s">
        <v>55</v>
      </c>
      <c r="G480">
        <v>5</v>
      </c>
      <c r="H480">
        <v>22300</v>
      </c>
      <c r="I480">
        <v>111500</v>
      </c>
    </row>
    <row r="481" spans="1:9" x14ac:dyDescent="0.35">
      <c r="A481" t="s">
        <v>521</v>
      </c>
      <c r="B481" s="1">
        <v>46186</v>
      </c>
      <c r="C481" t="s">
        <v>31</v>
      </c>
      <c r="D481" t="s">
        <v>49</v>
      </c>
      <c r="E481" t="s">
        <v>61</v>
      </c>
      <c r="F481" t="s">
        <v>13</v>
      </c>
      <c r="G481">
        <v>2</v>
      </c>
      <c r="H481">
        <v>7900</v>
      </c>
      <c r="I481">
        <v>15800</v>
      </c>
    </row>
    <row r="482" spans="1:9" x14ac:dyDescent="0.35">
      <c r="A482" t="s">
        <v>522</v>
      </c>
      <c r="B482" s="1">
        <v>46122</v>
      </c>
      <c r="C482" t="s">
        <v>24</v>
      </c>
      <c r="D482" t="s">
        <v>16</v>
      </c>
      <c r="E482" t="s">
        <v>63</v>
      </c>
      <c r="F482" t="s">
        <v>55</v>
      </c>
      <c r="G482">
        <v>4</v>
      </c>
      <c r="H482">
        <v>30500</v>
      </c>
      <c r="I482">
        <v>122000</v>
      </c>
    </row>
    <row r="483" spans="1:9" x14ac:dyDescent="0.35">
      <c r="A483" t="s">
        <v>523</v>
      </c>
      <c r="B483" s="1">
        <v>46147</v>
      </c>
      <c r="C483" t="s">
        <v>39</v>
      </c>
      <c r="D483" t="s">
        <v>74</v>
      </c>
      <c r="E483" t="s">
        <v>21</v>
      </c>
      <c r="F483" t="s">
        <v>22</v>
      </c>
      <c r="G483">
        <v>8</v>
      </c>
      <c r="H483">
        <v>28400</v>
      </c>
      <c r="I483">
        <v>227200</v>
      </c>
    </row>
    <row r="484" spans="1:9" x14ac:dyDescent="0.35">
      <c r="A484" t="s">
        <v>524</v>
      </c>
      <c r="B484" s="1">
        <v>46050</v>
      </c>
      <c r="C484" t="s">
        <v>46</v>
      </c>
      <c r="D484" t="s">
        <v>25</v>
      </c>
      <c r="E484" t="s">
        <v>40</v>
      </c>
      <c r="F484" t="s">
        <v>13</v>
      </c>
      <c r="G484">
        <v>3</v>
      </c>
      <c r="H484">
        <v>7000</v>
      </c>
      <c r="I484">
        <v>21000</v>
      </c>
    </row>
    <row r="485" spans="1:9" x14ac:dyDescent="0.35">
      <c r="A485" t="s">
        <v>525</v>
      </c>
      <c r="B485" s="1">
        <v>46104</v>
      </c>
      <c r="C485" t="s">
        <v>24</v>
      </c>
      <c r="D485" t="s">
        <v>36</v>
      </c>
      <c r="E485" t="s">
        <v>40</v>
      </c>
      <c r="F485" t="s">
        <v>13</v>
      </c>
      <c r="G485">
        <v>4</v>
      </c>
      <c r="H485">
        <v>6100</v>
      </c>
      <c r="I485">
        <v>24400</v>
      </c>
    </row>
    <row r="486" spans="1:9" x14ac:dyDescent="0.35">
      <c r="A486" t="s">
        <v>526</v>
      </c>
      <c r="B486" s="1">
        <v>46085</v>
      </c>
      <c r="C486" t="s">
        <v>46</v>
      </c>
      <c r="D486" t="s">
        <v>16</v>
      </c>
      <c r="E486" t="s">
        <v>17</v>
      </c>
      <c r="F486" t="s">
        <v>18</v>
      </c>
      <c r="G486">
        <v>3</v>
      </c>
      <c r="H486">
        <v>35400</v>
      </c>
      <c r="I486">
        <v>106200</v>
      </c>
    </row>
    <row r="487" spans="1:9" x14ac:dyDescent="0.35">
      <c r="A487" t="s">
        <v>527</v>
      </c>
      <c r="B487" s="1">
        <v>46037</v>
      </c>
      <c r="C487" t="s">
        <v>24</v>
      </c>
      <c r="D487" t="s">
        <v>16</v>
      </c>
      <c r="E487" t="s">
        <v>32</v>
      </c>
      <c r="F487" t="s">
        <v>13</v>
      </c>
      <c r="G487">
        <v>7</v>
      </c>
      <c r="H487">
        <v>4400</v>
      </c>
      <c r="I487">
        <v>30800</v>
      </c>
    </row>
    <row r="488" spans="1:9" x14ac:dyDescent="0.35">
      <c r="A488" t="s">
        <v>528</v>
      </c>
      <c r="B488" s="1">
        <v>46099</v>
      </c>
      <c r="C488" t="s">
        <v>46</v>
      </c>
      <c r="D488" t="s">
        <v>16</v>
      </c>
      <c r="E488" t="s">
        <v>17</v>
      </c>
      <c r="F488" t="s">
        <v>18</v>
      </c>
      <c r="G488">
        <v>6</v>
      </c>
      <c r="H488">
        <v>33600</v>
      </c>
      <c r="I488">
        <v>201600</v>
      </c>
    </row>
    <row r="489" spans="1:9" x14ac:dyDescent="0.35">
      <c r="A489" t="s">
        <v>529</v>
      </c>
      <c r="B489" s="1">
        <v>46090</v>
      </c>
      <c r="C489" t="s">
        <v>20</v>
      </c>
      <c r="D489" t="s">
        <v>49</v>
      </c>
      <c r="E489" t="s">
        <v>37</v>
      </c>
      <c r="F489" t="s">
        <v>18</v>
      </c>
      <c r="G489">
        <v>1</v>
      </c>
      <c r="H489">
        <v>63000</v>
      </c>
      <c r="I489">
        <v>63000</v>
      </c>
    </row>
    <row r="490" spans="1:9" x14ac:dyDescent="0.35">
      <c r="A490" t="s">
        <v>530</v>
      </c>
      <c r="B490" s="1">
        <v>46125</v>
      </c>
      <c r="C490" t="s">
        <v>31</v>
      </c>
      <c r="D490" t="s">
        <v>25</v>
      </c>
      <c r="E490" t="s">
        <v>61</v>
      </c>
      <c r="F490" t="s">
        <v>13</v>
      </c>
      <c r="G490">
        <v>8</v>
      </c>
      <c r="H490">
        <v>7300</v>
      </c>
      <c r="I490">
        <v>58400</v>
      </c>
    </row>
    <row r="491" spans="1:9" x14ac:dyDescent="0.35">
      <c r="A491" t="s">
        <v>531</v>
      </c>
      <c r="B491" s="1">
        <v>46167</v>
      </c>
      <c r="C491" t="s">
        <v>31</v>
      </c>
      <c r="D491" t="s">
        <v>36</v>
      </c>
      <c r="E491" t="s">
        <v>63</v>
      </c>
      <c r="F491" t="s">
        <v>55</v>
      </c>
      <c r="G491">
        <v>6</v>
      </c>
      <c r="H491">
        <v>33100</v>
      </c>
      <c r="I491">
        <v>198600</v>
      </c>
    </row>
    <row r="492" spans="1:9" x14ac:dyDescent="0.35">
      <c r="A492" t="s">
        <v>532</v>
      </c>
      <c r="B492" s="1">
        <v>46105</v>
      </c>
      <c r="C492" t="s">
        <v>65</v>
      </c>
      <c r="D492" t="s">
        <v>11</v>
      </c>
      <c r="E492" t="s">
        <v>54</v>
      </c>
      <c r="F492" t="s">
        <v>55</v>
      </c>
      <c r="G492">
        <v>7</v>
      </c>
      <c r="H492">
        <v>21700</v>
      </c>
      <c r="I492">
        <v>151900</v>
      </c>
    </row>
    <row r="493" spans="1:9" x14ac:dyDescent="0.35">
      <c r="A493" t="s">
        <v>533</v>
      </c>
      <c r="B493" s="1">
        <v>46200</v>
      </c>
      <c r="C493" t="s">
        <v>46</v>
      </c>
      <c r="D493" t="s">
        <v>74</v>
      </c>
      <c r="E493" t="s">
        <v>40</v>
      </c>
      <c r="F493" t="s">
        <v>13</v>
      </c>
      <c r="G493">
        <v>2</v>
      </c>
      <c r="H493">
        <v>5900</v>
      </c>
      <c r="I493">
        <v>11800</v>
      </c>
    </row>
    <row r="494" spans="1:9" x14ac:dyDescent="0.35">
      <c r="A494" t="s">
        <v>534</v>
      </c>
      <c r="B494" s="1">
        <v>46137</v>
      </c>
      <c r="C494" t="s">
        <v>29</v>
      </c>
      <c r="D494" t="s">
        <v>16</v>
      </c>
      <c r="E494" t="s">
        <v>54</v>
      </c>
      <c r="F494" t="s">
        <v>55</v>
      </c>
      <c r="G494">
        <v>8</v>
      </c>
      <c r="H494">
        <v>23800</v>
      </c>
      <c r="I494">
        <v>190400</v>
      </c>
    </row>
    <row r="495" spans="1:9" x14ac:dyDescent="0.35">
      <c r="A495" t="s">
        <v>535</v>
      </c>
      <c r="B495" s="1">
        <v>46082</v>
      </c>
      <c r="C495" t="s">
        <v>24</v>
      </c>
      <c r="D495" t="s">
        <v>16</v>
      </c>
      <c r="E495" t="s">
        <v>54</v>
      </c>
      <c r="F495" t="s">
        <v>55</v>
      </c>
      <c r="G495">
        <v>2</v>
      </c>
      <c r="H495">
        <v>19400</v>
      </c>
      <c r="I495">
        <v>38800</v>
      </c>
    </row>
    <row r="496" spans="1:9" x14ac:dyDescent="0.35">
      <c r="A496" t="s">
        <v>536</v>
      </c>
      <c r="B496" s="1">
        <v>46070</v>
      </c>
      <c r="C496" t="s">
        <v>24</v>
      </c>
      <c r="D496" t="s">
        <v>36</v>
      </c>
      <c r="E496" t="s">
        <v>17</v>
      </c>
      <c r="F496" t="s">
        <v>18</v>
      </c>
      <c r="G496">
        <v>6</v>
      </c>
      <c r="H496">
        <v>35300</v>
      </c>
      <c r="I496">
        <v>211800</v>
      </c>
    </row>
    <row r="497" spans="1:9" x14ac:dyDescent="0.35">
      <c r="A497" t="s">
        <v>537</v>
      </c>
      <c r="B497" s="1">
        <v>46196</v>
      </c>
      <c r="C497" t="s">
        <v>51</v>
      </c>
      <c r="D497" t="s">
        <v>11</v>
      </c>
      <c r="E497" t="s">
        <v>26</v>
      </c>
      <c r="F497" t="s">
        <v>18</v>
      </c>
      <c r="G497">
        <v>7</v>
      </c>
      <c r="H497">
        <v>80800</v>
      </c>
      <c r="I497">
        <v>565600</v>
      </c>
    </row>
    <row r="498" spans="1:9" x14ac:dyDescent="0.35">
      <c r="A498" t="s">
        <v>538</v>
      </c>
      <c r="B498" s="1">
        <v>46117</v>
      </c>
      <c r="C498" t="s">
        <v>39</v>
      </c>
      <c r="D498" t="s">
        <v>16</v>
      </c>
      <c r="E498" t="s">
        <v>61</v>
      </c>
      <c r="F498" t="s">
        <v>13</v>
      </c>
      <c r="G498">
        <v>6</v>
      </c>
      <c r="H498">
        <v>9000</v>
      </c>
      <c r="I498">
        <v>54000</v>
      </c>
    </row>
    <row r="499" spans="1:9" x14ac:dyDescent="0.35">
      <c r="A499" t="s">
        <v>539</v>
      </c>
      <c r="B499" s="1">
        <v>46118</v>
      </c>
      <c r="C499" t="s">
        <v>51</v>
      </c>
      <c r="D499" t="s">
        <v>25</v>
      </c>
      <c r="E499" t="s">
        <v>21</v>
      </c>
      <c r="F499" t="s">
        <v>22</v>
      </c>
      <c r="G499">
        <v>1</v>
      </c>
      <c r="H499">
        <v>26300</v>
      </c>
      <c r="I499">
        <v>26300</v>
      </c>
    </row>
    <row r="500" spans="1:9" x14ac:dyDescent="0.35">
      <c r="A500" t="s">
        <v>540</v>
      </c>
      <c r="B500" s="1">
        <v>46134</v>
      </c>
      <c r="C500" t="s">
        <v>34</v>
      </c>
      <c r="D500" t="s">
        <v>49</v>
      </c>
      <c r="E500" t="s">
        <v>26</v>
      </c>
      <c r="F500" t="s">
        <v>18</v>
      </c>
      <c r="G500">
        <v>3</v>
      </c>
      <c r="H500">
        <v>74400</v>
      </c>
      <c r="I500">
        <v>223200</v>
      </c>
    </row>
    <row r="501" spans="1:9" x14ac:dyDescent="0.35">
      <c r="A501" t="s">
        <v>541</v>
      </c>
      <c r="B501" s="1">
        <v>46037</v>
      </c>
      <c r="C501" t="s">
        <v>24</v>
      </c>
      <c r="D501" t="s">
        <v>16</v>
      </c>
      <c r="E501" t="s">
        <v>40</v>
      </c>
      <c r="F501" t="s">
        <v>13</v>
      </c>
      <c r="G501">
        <v>3</v>
      </c>
      <c r="H501">
        <v>7100</v>
      </c>
      <c r="I501">
        <v>21300</v>
      </c>
    </row>
    <row r="502" spans="1:9" x14ac:dyDescent="0.35">
      <c r="A502" t="s">
        <v>542</v>
      </c>
      <c r="B502" s="1">
        <v>46148</v>
      </c>
      <c r="C502" t="s">
        <v>44</v>
      </c>
      <c r="D502" t="s">
        <v>11</v>
      </c>
      <c r="E502" t="s">
        <v>543</v>
      </c>
      <c r="F502" t="s">
        <v>13</v>
      </c>
      <c r="G502">
        <v>5</v>
      </c>
      <c r="H502">
        <v>6100</v>
      </c>
      <c r="I502">
        <v>30500</v>
      </c>
    </row>
    <row r="503" spans="1:9" x14ac:dyDescent="0.35">
      <c r="A503" t="s">
        <v>544</v>
      </c>
      <c r="B503" s="1">
        <v>46202</v>
      </c>
      <c r="C503" t="s">
        <v>44</v>
      </c>
      <c r="D503" t="s">
        <v>36</v>
      </c>
      <c r="E503" t="s">
        <v>12</v>
      </c>
      <c r="F503" t="s">
        <v>13</v>
      </c>
      <c r="G503">
        <v>5</v>
      </c>
      <c r="H503">
        <v>2800</v>
      </c>
      <c r="I503">
        <v>14000</v>
      </c>
    </row>
    <row r="504" spans="1:9" x14ac:dyDescent="0.35">
      <c r="A504" t="s">
        <v>545</v>
      </c>
      <c r="B504" s="1">
        <v>46027</v>
      </c>
      <c r="C504" t="s">
        <v>39</v>
      </c>
      <c r="D504" t="s">
        <v>11</v>
      </c>
      <c r="E504" t="s">
        <v>61</v>
      </c>
      <c r="F504" t="s">
        <v>13</v>
      </c>
      <c r="G504">
        <v>7</v>
      </c>
      <c r="H504">
        <v>8600</v>
      </c>
      <c r="I504">
        <v>60200</v>
      </c>
    </row>
    <row r="505" spans="1:9" x14ac:dyDescent="0.35">
      <c r="A505" t="s">
        <v>546</v>
      </c>
      <c r="B505" s="1">
        <v>46099</v>
      </c>
      <c r="C505" t="s">
        <v>31</v>
      </c>
      <c r="D505" t="s">
        <v>36</v>
      </c>
      <c r="E505" t="s">
        <v>17</v>
      </c>
      <c r="F505" t="s">
        <v>18</v>
      </c>
      <c r="G505">
        <v>8</v>
      </c>
      <c r="H505">
        <v>31500</v>
      </c>
      <c r="I505">
        <v>252000</v>
      </c>
    </row>
    <row r="506" spans="1:9" x14ac:dyDescent="0.35">
      <c r="A506" t="s">
        <v>547</v>
      </c>
      <c r="B506" s="1">
        <v>46137</v>
      </c>
      <c r="C506" t="s">
        <v>31</v>
      </c>
      <c r="D506" t="s">
        <v>16</v>
      </c>
      <c r="E506" t="s">
        <v>61</v>
      </c>
      <c r="F506" t="s">
        <v>13</v>
      </c>
      <c r="G506">
        <v>2</v>
      </c>
      <c r="H506">
        <v>9000</v>
      </c>
      <c r="I506">
        <v>18000</v>
      </c>
    </row>
    <row r="507" spans="1:9" x14ac:dyDescent="0.35">
      <c r="A507" t="s">
        <v>548</v>
      </c>
      <c r="B507" s="1">
        <v>46072</v>
      </c>
      <c r="C507" t="s">
        <v>24</v>
      </c>
      <c r="D507" t="s">
        <v>36</v>
      </c>
      <c r="E507" t="s">
        <v>26</v>
      </c>
      <c r="F507" t="s">
        <v>18</v>
      </c>
      <c r="G507">
        <v>2</v>
      </c>
      <c r="H507">
        <v>84300</v>
      </c>
      <c r="I507">
        <v>168600</v>
      </c>
    </row>
    <row r="508" spans="1:9" x14ac:dyDescent="0.35">
      <c r="A508" t="s">
        <v>549</v>
      </c>
      <c r="B508" s="1">
        <v>46061</v>
      </c>
      <c r="C508" t="s">
        <v>39</v>
      </c>
      <c r="D508" t="s">
        <v>16</v>
      </c>
      <c r="E508" t="s">
        <v>40</v>
      </c>
      <c r="F508" t="s">
        <v>13</v>
      </c>
      <c r="G508">
        <v>8</v>
      </c>
      <c r="H508">
        <v>6800</v>
      </c>
      <c r="I508">
        <v>54400</v>
      </c>
    </row>
    <row r="509" spans="1:9" x14ac:dyDescent="0.35">
      <c r="A509" t="s">
        <v>550</v>
      </c>
      <c r="B509" s="1">
        <v>46073</v>
      </c>
      <c r="C509" t="s">
        <v>20</v>
      </c>
      <c r="D509" t="s">
        <v>16</v>
      </c>
      <c r="E509" t="s">
        <v>32</v>
      </c>
      <c r="F509" t="s">
        <v>13</v>
      </c>
      <c r="G509">
        <v>3</v>
      </c>
      <c r="H509">
        <v>4500</v>
      </c>
      <c r="I509">
        <v>13500</v>
      </c>
    </row>
    <row r="510" spans="1:9" x14ac:dyDescent="0.35">
      <c r="A510" t="s">
        <v>551</v>
      </c>
      <c r="B510" s="1">
        <v>46183</v>
      </c>
      <c r="C510" t="s">
        <v>44</v>
      </c>
      <c r="D510" t="s">
        <v>25</v>
      </c>
      <c r="E510" t="s">
        <v>12</v>
      </c>
      <c r="F510" t="s">
        <v>13</v>
      </c>
      <c r="G510">
        <v>1</v>
      </c>
      <c r="H510">
        <v>2600</v>
      </c>
      <c r="I510">
        <v>2600</v>
      </c>
    </row>
    <row r="511" spans="1:9" x14ac:dyDescent="0.35">
      <c r="A511" t="s">
        <v>552</v>
      </c>
      <c r="B511" s="1">
        <v>46194</v>
      </c>
      <c r="C511" t="s">
        <v>29</v>
      </c>
      <c r="D511" t="s">
        <v>25</v>
      </c>
      <c r="E511" t="s">
        <v>54</v>
      </c>
      <c r="F511" t="s">
        <v>55</v>
      </c>
      <c r="G511">
        <v>6</v>
      </c>
      <c r="H511">
        <v>19300</v>
      </c>
      <c r="I511">
        <v>115800</v>
      </c>
    </row>
    <row r="512" spans="1:9" x14ac:dyDescent="0.35">
      <c r="A512" t="s">
        <v>553</v>
      </c>
      <c r="B512" s="1">
        <v>46195</v>
      </c>
      <c r="C512" t="s">
        <v>44</v>
      </c>
      <c r="D512" t="s">
        <v>16</v>
      </c>
      <c r="E512" t="s">
        <v>54</v>
      </c>
      <c r="F512" t="s">
        <v>55</v>
      </c>
      <c r="G512">
        <v>4</v>
      </c>
      <c r="H512">
        <v>19700</v>
      </c>
      <c r="I512">
        <v>78800</v>
      </c>
    </row>
    <row r="513" spans="1:9" x14ac:dyDescent="0.35">
      <c r="A513" t="s">
        <v>554</v>
      </c>
      <c r="B513" s="1">
        <v>46059</v>
      </c>
      <c r="C513" t="s">
        <v>39</v>
      </c>
      <c r="D513" t="s">
        <v>11</v>
      </c>
      <c r="E513" t="s">
        <v>63</v>
      </c>
      <c r="F513" t="s">
        <v>55</v>
      </c>
      <c r="G513">
        <v>2</v>
      </c>
      <c r="H513">
        <v>33900</v>
      </c>
      <c r="I513">
        <v>67800</v>
      </c>
    </row>
    <row r="514" spans="1:9" x14ac:dyDescent="0.35">
      <c r="A514" t="s">
        <v>555</v>
      </c>
      <c r="B514" s="1">
        <v>46164</v>
      </c>
      <c r="C514" t="s">
        <v>44</v>
      </c>
      <c r="D514" t="s">
        <v>36</v>
      </c>
      <c r="E514" t="s">
        <v>17</v>
      </c>
      <c r="F514" t="s">
        <v>18</v>
      </c>
      <c r="G514">
        <v>7</v>
      </c>
      <c r="H514">
        <v>34600</v>
      </c>
      <c r="I514">
        <v>242200</v>
      </c>
    </row>
    <row r="515" spans="1:9" x14ac:dyDescent="0.35">
      <c r="A515" t="s">
        <v>556</v>
      </c>
      <c r="B515" s="1">
        <v>46104</v>
      </c>
      <c r="C515" t="s">
        <v>44</v>
      </c>
      <c r="D515" t="s">
        <v>49</v>
      </c>
      <c r="E515" t="s">
        <v>32</v>
      </c>
      <c r="F515" t="s">
        <v>13</v>
      </c>
      <c r="G515">
        <v>6</v>
      </c>
      <c r="H515">
        <v>5000</v>
      </c>
      <c r="I515">
        <v>30000</v>
      </c>
    </row>
    <row r="516" spans="1:9" x14ac:dyDescent="0.35">
      <c r="A516" t="s">
        <v>557</v>
      </c>
      <c r="B516" s="1">
        <v>46124</v>
      </c>
      <c r="C516" t="s">
        <v>34</v>
      </c>
      <c r="D516" t="s">
        <v>16</v>
      </c>
      <c r="E516" t="s">
        <v>21</v>
      </c>
      <c r="F516" t="s">
        <v>22</v>
      </c>
      <c r="G516">
        <v>4</v>
      </c>
      <c r="H516">
        <v>29300</v>
      </c>
      <c r="I516">
        <v>117200</v>
      </c>
    </row>
    <row r="517" spans="1:9" x14ac:dyDescent="0.35">
      <c r="A517" t="s">
        <v>558</v>
      </c>
      <c r="B517" s="1">
        <v>46037</v>
      </c>
      <c r="C517" t="s">
        <v>29</v>
      </c>
      <c r="D517" t="s">
        <v>74</v>
      </c>
      <c r="E517" t="s">
        <v>32</v>
      </c>
      <c r="F517" t="s">
        <v>13</v>
      </c>
      <c r="G517">
        <v>3</v>
      </c>
      <c r="H517">
        <v>4400</v>
      </c>
      <c r="I517">
        <v>13200</v>
      </c>
    </row>
    <row r="518" spans="1:9" x14ac:dyDescent="0.35">
      <c r="A518" t="s">
        <v>559</v>
      </c>
      <c r="B518" s="1">
        <v>46192</v>
      </c>
      <c r="C518" t="s">
        <v>39</v>
      </c>
      <c r="D518" t="s">
        <v>49</v>
      </c>
      <c r="E518" t="s">
        <v>21</v>
      </c>
      <c r="F518" t="s">
        <v>22</v>
      </c>
      <c r="G518">
        <v>4</v>
      </c>
      <c r="H518">
        <v>31200</v>
      </c>
      <c r="I518">
        <v>124800</v>
      </c>
    </row>
    <row r="519" spans="1:9" x14ac:dyDescent="0.35">
      <c r="A519" t="s">
        <v>560</v>
      </c>
      <c r="B519" s="1">
        <v>46062</v>
      </c>
      <c r="C519" t="s">
        <v>34</v>
      </c>
      <c r="D519" t="s">
        <v>16</v>
      </c>
      <c r="E519" t="s">
        <v>21</v>
      </c>
      <c r="F519" t="s">
        <v>22</v>
      </c>
      <c r="G519">
        <v>5</v>
      </c>
      <c r="H519">
        <v>26900</v>
      </c>
      <c r="I519">
        <v>134500</v>
      </c>
    </row>
    <row r="520" spans="1:9" x14ac:dyDescent="0.35">
      <c r="A520" t="s">
        <v>561</v>
      </c>
      <c r="B520" s="1">
        <v>46069</v>
      </c>
      <c r="C520" t="s">
        <v>46</v>
      </c>
      <c r="D520" t="s">
        <v>25</v>
      </c>
      <c r="E520" t="s">
        <v>12</v>
      </c>
      <c r="F520" t="s">
        <v>13</v>
      </c>
      <c r="G520">
        <v>7</v>
      </c>
      <c r="H520">
        <v>2500</v>
      </c>
      <c r="I520">
        <v>17500</v>
      </c>
    </row>
    <row r="521" spans="1:9" x14ac:dyDescent="0.35">
      <c r="A521" t="s">
        <v>562</v>
      </c>
      <c r="B521" s="1">
        <v>46196</v>
      </c>
      <c r="C521" t="s">
        <v>15</v>
      </c>
      <c r="D521" t="s">
        <v>11</v>
      </c>
      <c r="E521" t="s">
        <v>17</v>
      </c>
      <c r="F521" t="s">
        <v>18</v>
      </c>
      <c r="G521">
        <v>7</v>
      </c>
      <c r="H521">
        <v>35200</v>
      </c>
      <c r="I521">
        <v>246400</v>
      </c>
    </row>
    <row r="522" spans="1:9" x14ac:dyDescent="0.35">
      <c r="A522" t="s">
        <v>563</v>
      </c>
      <c r="B522" s="1">
        <v>46090</v>
      </c>
      <c r="C522" t="s">
        <v>24</v>
      </c>
      <c r="D522" t="s">
        <v>25</v>
      </c>
      <c r="E522" t="s">
        <v>37</v>
      </c>
      <c r="F522" t="s">
        <v>18</v>
      </c>
      <c r="G522">
        <v>3</v>
      </c>
      <c r="H522">
        <v>54200</v>
      </c>
      <c r="I522">
        <v>162600</v>
      </c>
    </row>
    <row r="523" spans="1:9" x14ac:dyDescent="0.35">
      <c r="A523" t="s">
        <v>564</v>
      </c>
      <c r="B523" s="1">
        <v>46066</v>
      </c>
      <c r="C523" t="s">
        <v>24</v>
      </c>
      <c r="D523" t="s">
        <v>11</v>
      </c>
      <c r="E523" t="s">
        <v>12</v>
      </c>
      <c r="F523" t="s">
        <v>13</v>
      </c>
      <c r="G523">
        <v>1</v>
      </c>
      <c r="H523">
        <v>2600</v>
      </c>
      <c r="I523">
        <v>2600</v>
      </c>
    </row>
    <row r="524" spans="1:9" x14ac:dyDescent="0.35">
      <c r="A524" t="s">
        <v>565</v>
      </c>
      <c r="B524" s="1">
        <v>46093</v>
      </c>
      <c r="C524" t="s">
        <v>10</v>
      </c>
      <c r="D524" t="s">
        <v>11</v>
      </c>
      <c r="E524" t="s">
        <v>21</v>
      </c>
      <c r="F524" t="s">
        <v>22</v>
      </c>
      <c r="G524">
        <v>5</v>
      </c>
      <c r="H524">
        <v>29200</v>
      </c>
      <c r="I524">
        <v>146000</v>
      </c>
    </row>
    <row r="525" spans="1:9" x14ac:dyDescent="0.35">
      <c r="A525" t="s">
        <v>566</v>
      </c>
      <c r="B525" s="1">
        <v>46067</v>
      </c>
      <c r="C525" t="s">
        <v>20</v>
      </c>
      <c r="D525" t="s">
        <v>36</v>
      </c>
      <c r="E525" t="s">
        <v>21</v>
      </c>
      <c r="F525" t="s">
        <v>22</v>
      </c>
      <c r="G525">
        <v>7</v>
      </c>
      <c r="H525">
        <v>31000</v>
      </c>
      <c r="I525">
        <v>217000</v>
      </c>
    </row>
    <row r="526" spans="1:9" x14ac:dyDescent="0.35">
      <c r="A526" t="s">
        <v>567</v>
      </c>
      <c r="B526" s="1">
        <v>46154</v>
      </c>
      <c r="C526" t="s">
        <v>20</v>
      </c>
      <c r="D526" t="s">
        <v>16</v>
      </c>
      <c r="E526" t="s">
        <v>12</v>
      </c>
      <c r="F526" t="s">
        <v>13</v>
      </c>
      <c r="G526">
        <v>3</v>
      </c>
      <c r="H526">
        <v>2500</v>
      </c>
      <c r="I526">
        <v>7500</v>
      </c>
    </row>
    <row r="527" spans="1:9" x14ac:dyDescent="0.35">
      <c r="A527" t="s">
        <v>568</v>
      </c>
      <c r="B527" s="1">
        <v>46113</v>
      </c>
      <c r="C527" t="s">
        <v>46</v>
      </c>
      <c r="D527" t="s">
        <v>25</v>
      </c>
      <c r="E527" t="s">
        <v>61</v>
      </c>
      <c r="F527" t="s">
        <v>13</v>
      </c>
      <c r="G527">
        <v>3</v>
      </c>
      <c r="H527">
        <v>8600</v>
      </c>
      <c r="I527">
        <v>25800</v>
      </c>
    </row>
    <row r="528" spans="1:9" x14ac:dyDescent="0.35">
      <c r="A528" t="s">
        <v>569</v>
      </c>
      <c r="B528" s="1">
        <v>46084</v>
      </c>
      <c r="C528" t="s">
        <v>31</v>
      </c>
      <c r="D528" t="s">
        <v>25</v>
      </c>
      <c r="E528" t="s">
        <v>17</v>
      </c>
      <c r="F528" t="s">
        <v>18</v>
      </c>
      <c r="G528">
        <v>5</v>
      </c>
      <c r="H528">
        <v>37100</v>
      </c>
      <c r="I528">
        <v>185500</v>
      </c>
    </row>
    <row r="529" spans="1:9" x14ac:dyDescent="0.35">
      <c r="A529" t="s">
        <v>570</v>
      </c>
      <c r="B529" s="1">
        <v>46185</v>
      </c>
      <c r="C529" t="s">
        <v>31</v>
      </c>
      <c r="D529" t="s">
        <v>36</v>
      </c>
      <c r="E529" t="s">
        <v>26</v>
      </c>
      <c r="F529" t="s">
        <v>18</v>
      </c>
      <c r="G529">
        <v>3</v>
      </c>
      <c r="H529">
        <v>82200</v>
      </c>
      <c r="I529">
        <v>246600</v>
      </c>
    </row>
    <row r="530" spans="1:9" x14ac:dyDescent="0.35">
      <c r="A530" t="s">
        <v>571</v>
      </c>
      <c r="B530" s="1">
        <v>46094</v>
      </c>
      <c r="C530" t="s">
        <v>31</v>
      </c>
      <c r="D530" t="s">
        <v>11</v>
      </c>
      <c r="E530" t="s">
        <v>63</v>
      </c>
      <c r="F530" t="s">
        <v>55</v>
      </c>
      <c r="G530">
        <v>7</v>
      </c>
      <c r="H530">
        <v>34000</v>
      </c>
      <c r="I530">
        <v>238000</v>
      </c>
    </row>
    <row r="531" spans="1:9" x14ac:dyDescent="0.35">
      <c r="A531" t="s">
        <v>572</v>
      </c>
      <c r="B531" s="1">
        <v>46137</v>
      </c>
      <c r="C531" t="s">
        <v>31</v>
      </c>
      <c r="D531" t="s">
        <v>49</v>
      </c>
      <c r="E531" t="s">
        <v>21</v>
      </c>
      <c r="F531" t="s">
        <v>22</v>
      </c>
      <c r="G531">
        <v>7</v>
      </c>
      <c r="H531">
        <v>26900</v>
      </c>
      <c r="I531">
        <v>188300</v>
      </c>
    </row>
    <row r="532" spans="1:9" x14ac:dyDescent="0.35">
      <c r="A532" t="s">
        <v>573</v>
      </c>
      <c r="B532" s="1">
        <v>46093</v>
      </c>
      <c r="C532" t="s">
        <v>20</v>
      </c>
      <c r="D532" t="s">
        <v>36</v>
      </c>
      <c r="E532" t="s">
        <v>54</v>
      </c>
      <c r="F532" t="s">
        <v>55</v>
      </c>
      <c r="G532">
        <v>8</v>
      </c>
      <c r="H532">
        <v>22800</v>
      </c>
      <c r="I532">
        <v>182400</v>
      </c>
    </row>
    <row r="533" spans="1:9" x14ac:dyDescent="0.35">
      <c r="A533" t="s">
        <v>574</v>
      </c>
      <c r="B533" s="1">
        <v>46088</v>
      </c>
      <c r="C533" t="s">
        <v>29</v>
      </c>
      <c r="D533" t="s">
        <v>74</v>
      </c>
      <c r="E533" t="s">
        <v>61</v>
      </c>
      <c r="F533" t="s">
        <v>13</v>
      </c>
      <c r="G533">
        <v>3</v>
      </c>
      <c r="H533">
        <v>7700</v>
      </c>
      <c r="I533">
        <v>23100</v>
      </c>
    </row>
    <row r="534" spans="1:9" x14ac:dyDescent="0.35">
      <c r="A534" t="s">
        <v>575</v>
      </c>
      <c r="B534" s="1">
        <v>46140</v>
      </c>
      <c r="C534" t="s">
        <v>39</v>
      </c>
      <c r="D534" t="s">
        <v>49</v>
      </c>
      <c r="E534" t="s">
        <v>26</v>
      </c>
      <c r="F534" t="s">
        <v>18</v>
      </c>
      <c r="G534">
        <v>8</v>
      </c>
      <c r="H534">
        <v>77900</v>
      </c>
      <c r="I534">
        <v>623200</v>
      </c>
    </row>
    <row r="535" spans="1:9" x14ac:dyDescent="0.35">
      <c r="A535" t="s">
        <v>576</v>
      </c>
      <c r="B535" s="1">
        <v>46048</v>
      </c>
      <c r="C535" t="s">
        <v>39</v>
      </c>
      <c r="D535" t="s">
        <v>25</v>
      </c>
      <c r="E535" t="s">
        <v>63</v>
      </c>
      <c r="F535" t="s">
        <v>55</v>
      </c>
      <c r="G535">
        <v>7</v>
      </c>
      <c r="H535">
        <v>26900</v>
      </c>
      <c r="I535">
        <v>188300</v>
      </c>
    </row>
    <row r="536" spans="1:9" x14ac:dyDescent="0.35">
      <c r="A536" t="s">
        <v>577</v>
      </c>
      <c r="B536" s="1">
        <v>46043</v>
      </c>
      <c r="C536" t="s">
        <v>31</v>
      </c>
      <c r="D536" t="s">
        <v>49</v>
      </c>
      <c r="E536" t="s">
        <v>61</v>
      </c>
      <c r="F536" t="s">
        <v>13</v>
      </c>
      <c r="G536">
        <v>8</v>
      </c>
      <c r="H536">
        <v>8300</v>
      </c>
      <c r="I536">
        <v>66400</v>
      </c>
    </row>
    <row r="537" spans="1:9" x14ac:dyDescent="0.35">
      <c r="A537" t="s">
        <v>578</v>
      </c>
      <c r="B537" s="1">
        <v>46081</v>
      </c>
      <c r="C537" t="s">
        <v>29</v>
      </c>
      <c r="D537" t="s">
        <v>74</v>
      </c>
      <c r="E537" t="s">
        <v>54</v>
      </c>
      <c r="F537" t="s">
        <v>55</v>
      </c>
      <c r="G537">
        <v>3</v>
      </c>
      <c r="H537">
        <v>21600</v>
      </c>
      <c r="I537">
        <v>64800</v>
      </c>
    </row>
    <row r="538" spans="1:9" x14ac:dyDescent="0.35">
      <c r="A538" t="s">
        <v>579</v>
      </c>
      <c r="B538" s="1">
        <v>46184</v>
      </c>
      <c r="C538" t="s">
        <v>65</v>
      </c>
      <c r="D538" t="s">
        <v>36</v>
      </c>
      <c r="E538" t="s">
        <v>26</v>
      </c>
      <c r="F538" t="s">
        <v>18</v>
      </c>
      <c r="G538">
        <v>7</v>
      </c>
      <c r="H538">
        <v>75800</v>
      </c>
      <c r="I538">
        <v>530600</v>
      </c>
    </row>
    <row r="539" spans="1:9" x14ac:dyDescent="0.35">
      <c r="A539" t="s">
        <v>580</v>
      </c>
      <c r="B539" s="1">
        <v>46200</v>
      </c>
      <c r="C539" t="s">
        <v>20</v>
      </c>
      <c r="D539" t="s">
        <v>49</v>
      </c>
      <c r="E539" t="s">
        <v>17</v>
      </c>
      <c r="F539" t="s">
        <v>18</v>
      </c>
      <c r="G539">
        <v>3</v>
      </c>
      <c r="H539">
        <v>33200</v>
      </c>
      <c r="I539">
        <v>99600</v>
      </c>
    </row>
    <row r="540" spans="1:9" x14ac:dyDescent="0.35">
      <c r="A540" t="s">
        <v>581</v>
      </c>
      <c r="B540" s="1">
        <v>46160</v>
      </c>
      <c r="C540" t="s">
        <v>34</v>
      </c>
      <c r="D540" t="s">
        <v>11</v>
      </c>
      <c r="E540" t="s">
        <v>26</v>
      </c>
      <c r="F540" t="s">
        <v>18</v>
      </c>
      <c r="G540">
        <v>7</v>
      </c>
      <c r="H540">
        <v>72300</v>
      </c>
      <c r="I540">
        <v>506100</v>
      </c>
    </row>
    <row r="541" spans="1:9" x14ac:dyDescent="0.35">
      <c r="A541" t="s">
        <v>582</v>
      </c>
      <c r="B541" s="1">
        <v>46180</v>
      </c>
      <c r="C541" t="s">
        <v>15</v>
      </c>
      <c r="D541" t="s">
        <v>36</v>
      </c>
      <c r="E541" t="s">
        <v>32</v>
      </c>
      <c r="F541" t="s">
        <v>13</v>
      </c>
      <c r="G541">
        <v>2</v>
      </c>
      <c r="H541">
        <v>4100</v>
      </c>
      <c r="I541">
        <v>8200</v>
      </c>
    </row>
    <row r="542" spans="1:9" x14ac:dyDescent="0.35">
      <c r="A542" t="s">
        <v>583</v>
      </c>
      <c r="B542" s="1">
        <v>46042</v>
      </c>
      <c r="C542" t="s">
        <v>34</v>
      </c>
      <c r="D542" t="s">
        <v>49</v>
      </c>
      <c r="E542" t="s">
        <v>63</v>
      </c>
      <c r="F542" t="s">
        <v>55</v>
      </c>
      <c r="G542">
        <v>8</v>
      </c>
      <c r="H542">
        <v>27900</v>
      </c>
      <c r="I542">
        <v>223200</v>
      </c>
    </row>
    <row r="543" spans="1:9" x14ac:dyDescent="0.35">
      <c r="A543" t="s">
        <v>584</v>
      </c>
      <c r="B543" s="1">
        <v>46071</v>
      </c>
      <c r="C543" t="s">
        <v>15</v>
      </c>
      <c r="D543" t="s">
        <v>49</v>
      </c>
      <c r="E543" t="s">
        <v>63</v>
      </c>
      <c r="F543" t="s">
        <v>55</v>
      </c>
      <c r="G543">
        <v>6</v>
      </c>
      <c r="H543">
        <v>27500</v>
      </c>
      <c r="I543">
        <v>165000</v>
      </c>
    </row>
    <row r="544" spans="1:9" x14ac:dyDescent="0.35">
      <c r="A544" t="s">
        <v>585</v>
      </c>
      <c r="B544" s="1">
        <v>46200</v>
      </c>
      <c r="C544" t="s">
        <v>15</v>
      </c>
      <c r="D544" t="s">
        <v>25</v>
      </c>
      <c r="E544" t="s">
        <v>37</v>
      </c>
      <c r="F544" t="s">
        <v>18</v>
      </c>
      <c r="G544">
        <v>3</v>
      </c>
      <c r="H544">
        <v>49400</v>
      </c>
      <c r="I544">
        <v>148200</v>
      </c>
    </row>
    <row r="545" spans="1:9" x14ac:dyDescent="0.35">
      <c r="A545" t="s">
        <v>586</v>
      </c>
      <c r="B545" s="1">
        <v>46131</v>
      </c>
      <c r="C545" t="s">
        <v>20</v>
      </c>
      <c r="D545" t="s">
        <v>74</v>
      </c>
      <c r="E545" t="s">
        <v>17</v>
      </c>
      <c r="F545" t="s">
        <v>18</v>
      </c>
      <c r="G545">
        <v>5</v>
      </c>
      <c r="H545">
        <v>34400</v>
      </c>
      <c r="I545">
        <v>172000</v>
      </c>
    </row>
    <row r="546" spans="1:9" x14ac:dyDescent="0.35">
      <c r="A546" t="s">
        <v>587</v>
      </c>
      <c r="B546" s="1">
        <v>46135</v>
      </c>
      <c r="C546" t="s">
        <v>44</v>
      </c>
      <c r="D546" t="s">
        <v>11</v>
      </c>
      <c r="E546" t="s">
        <v>61</v>
      </c>
      <c r="F546" t="s">
        <v>13</v>
      </c>
      <c r="G546">
        <v>6</v>
      </c>
      <c r="H546">
        <v>7900</v>
      </c>
      <c r="I546">
        <v>47400</v>
      </c>
    </row>
    <row r="547" spans="1:9" x14ac:dyDescent="0.35">
      <c r="A547" t="s">
        <v>588</v>
      </c>
      <c r="B547" s="1">
        <v>46174</v>
      </c>
      <c r="C547" t="s">
        <v>10</v>
      </c>
      <c r="D547" t="s">
        <v>49</v>
      </c>
      <c r="E547" t="s">
        <v>54</v>
      </c>
      <c r="F547" t="s">
        <v>55</v>
      </c>
      <c r="G547">
        <v>8</v>
      </c>
      <c r="H547">
        <v>21800</v>
      </c>
      <c r="I547">
        <v>174400</v>
      </c>
    </row>
    <row r="548" spans="1:9" x14ac:dyDescent="0.35">
      <c r="A548" t="s">
        <v>589</v>
      </c>
      <c r="B548" s="1">
        <v>46102</v>
      </c>
      <c r="C548" t="s">
        <v>39</v>
      </c>
      <c r="D548" t="s">
        <v>25</v>
      </c>
      <c r="E548" t="s">
        <v>12</v>
      </c>
      <c r="F548" t="s">
        <v>13</v>
      </c>
      <c r="G548">
        <v>8</v>
      </c>
      <c r="H548">
        <v>2400</v>
      </c>
      <c r="I548">
        <v>19200</v>
      </c>
    </row>
    <row r="549" spans="1:9" x14ac:dyDescent="0.35">
      <c r="A549" t="s">
        <v>590</v>
      </c>
      <c r="B549" s="1">
        <v>46173</v>
      </c>
      <c r="C549" t="s">
        <v>44</v>
      </c>
      <c r="D549" t="s">
        <v>49</v>
      </c>
      <c r="E549" t="s">
        <v>12</v>
      </c>
      <c r="F549" t="s">
        <v>13</v>
      </c>
      <c r="H549">
        <v>2700</v>
      </c>
      <c r="I549">
        <v>10800</v>
      </c>
    </row>
    <row r="550" spans="1:9" x14ac:dyDescent="0.35">
      <c r="A550" t="s">
        <v>591</v>
      </c>
      <c r="B550" s="1">
        <v>46204</v>
      </c>
      <c r="C550" t="s">
        <v>46</v>
      </c>
      <c r="D550" t="s">
        <v>11</v>
      </c>
      <c r="E550" t="s">
        <v>40</v>
      </c>
      <c r="F550" t="s">
        <v>13</v>
      </c>
      <c r="G550">
        <v>3</v>
      </c>
      <c r="H550">
        <v>5800</v>
      </c>
      <c r="I550">
        <v>17400</v>
      </c>
    </row>
    <row r="551" spans="1:9" x14ac:dyDescent="0.35">
      <c r="A551" t="s">
        <v>592</v>
      </c>
      <c r="B551" s="1">
        <v>46130</v>
      </c>
      <c r="C551" t="s">
        <v>65</v>
      </c>
      <c r="D551" t="s">
        <v>11</v>
      </c>
      <c r="E551" t="s">
        <v>17</v>
      </c>
      <c r="F551" t="s">
        <v>18</v>
      </c>
      <c r="G551">
        <v>5</v>
      </c>
      <c r="H551">
        <v>33800</v>
      </c>
      <c r="I551">
        <v>169000</v>
      </c>
    </row>
    <row r="552" spans="1:9" x14ac:dyDescent="0.35">
      <c r="A552" t="s">
        <v>593</v>
      </c>
      <c r="B552" s="1">
        <v>46082</v>
      </c>
      <c r="C552" t="s">
        <v>29</v>
      </c>
      <c r="D552" t="s">
        <v>11</v>
      </c>
      <c r="E552" t="s">
        <v>61</v>
      </c>
      <c r="F552" t="s">
        <v>13</v>
      </c>
      <c r="G552">
        <v>5</v>
      </c>
      <c r="H552">
        <v>7500</v>
      </c>
      <c r="I552">
        <v>37500</v>
      </c>
    </row>
    <row r="553" spans="1:9" x14ac:dyDescent="0.35">
      <c r="A553" t="s">
        <v>594</v>
      </c>
      <c r="B553" s="1">
        <v>46189</v>
      </c>
      <c r="C553" t="s">
        <v>10</v>
      </c>
      <c r="D553" t="s">
        <v>74</v>
      </c>
      <c r="E553" t="s">
        <v>37</v>
      </c>
      <c r="F553" t="s">
        <v>18</v>
      </c>
      <c r="G553">
        <v>3</v>
      </c>
      <c r="H553">
        <v>58900</v>
      </c>
      <c r="I553">
        <v>176700</v>
      </c>
    </row>
    <row r="554" spans="1:9" x14ac:dyDescent="0.35">
      <c r="A554" t="s">
        <v>595</v>
      </c>
      <c r="B554" s="1">
        <v>46141</v>
      </c>
      <c r="C554" t="s">
        <v>44</v>
      </c>
      <c r="D554" t="s">
        <v>25</v>
      </c>
      <c r="E554" t="s">
        <v>54</v>
      </c>
      <c r="F554" t="s">
        <v>55</v>
      </c>
      <c r="G554">
        <v>1</v>
      </c>
      <c r="H554">
        <v>25000</v>
      </c>
      <c r="I554">
        <v>25000</v>
      </c>
    </row>
    <row r="555" spans="1:9" x14ac:dyDescent="0.35">
      <c r="A555" t="s">
        <v>596</v>
      </c>
      <c r="B555" s="1">
        <v>46062</v>
      </c>
      <c r="C555" t="s">
        <v>65</v>
      </c>
      <c r="D555" t="s">
        <v>11</v>
      </c>
      <c r="E555" t="s">
        <v>17</v>
      </c>
      <c r="F555" t="s">
        <v>18</v>
      </c>
      <c r="G555">
        <v>5</v>
      </c>
      <c r="H555">
        <v>34700</v>
      </c>
      <c r="I555">
        <v>173500</v>
      </c>
    </row>
    <row r="556" spans="1:9" x14ac:dyDescent="0.35">
      <c r="A556" t="s">
        <v>597</v>
      </c>
      <c r="B556" s="1">
        <v>46076</v>
      </c>
      <c r="C556" t="s">
        <v>44</v>
      </c>
      <c r="D556" t="s">
        <v>49</v>
      </c>
      <c r="E556" t="s">
        <v>32</v>
      </c>
      <c r="F556" t="s">
        <v>13</v>
      </c>
      <c r="G556">
        <v>5</v>
      </c>
      <c r="H556">
        <v>4200</v>
      </c>
      <c r="I556">
        <v>21000</v>
      </c>
    </row>
    <row r="557" spans="1:9" x14ac:dyDescent="0.35">
      <c r="A557" t="s">
        <v>598</v>
      </c>
      <c r="B557" s="1">
        <v>46101</v>
      </c>
      <c r="C557" t="s">
        <v>51</v>
      </c>
      <c r="D557" t="s">
        <v>49</v>
      </c>
      <c r="E557" t="s">
        <v>12</v>
      </c>
      <c r="F557" t="s">
        <v>13</v>
      </c>
      <c r="G557">
        <v>6</v>
      </c>
      <c r="H557">
        <v>2300</v>
      </c>
      <c r="I557">
        <v>13800</v>
      </c>
    </row>
    <row r="558" spans="1:9" x14ac:dyDescent="0.35">
      <c r="A558" t="s">
        <v>599</v>
      </c>
      <c r="B558" s="1">
        <v>46078</v>
      </c>
      <c r="C558" t="s">
        <v>29</v>
      </c>
      <c r="D558" t="s">
        <v>25</v>
      </c>
      <c r="E558" t="s">
        <v>21</v>
      </c>
      <c r="F558" t="s">
        <v>22</v>
      </c>
      <c r="G558">
        <v>1</v>
      </c>
      <c r="H558">
        <v>31100</v>
      </c>
      <c r="I558">
        <v>31100</v>
      </c>
    </row>
    <row r="559" spans="1:9" x14ac:dyDescent="0.35">
      <c r="A559" t="s">
        <v>600</v>
      </c>
      <c r="B559" s="1">
        <v>46160</v>
      </c>
      <c r="C559" t="s">
        <v>10</v>
      </c>
      <c r="D559" t="s">
        <v>74</v>
      </c>
      <c r="E559" t="s">
        <v>61</v>
      </c>
      <c r="F559" t="s">
        <v>13</v>
      </c>
      <c r="G559">
        <v>4</v>
      </c>
      <c r="H559">
        <v>7300</v>
      </c>
      <c r="I559">
        <v>29200</v>
      </c>
    </row>
    <row r="560" spans="1:9" x14ac:dyDescent="0.35">
      <c r="A560" t="s">
        <v>601</v>
      </c>
      <c r="B560" s="1">
        <v>46077</v>
      </c>
      <c r="C560" t="s">
        <v>39</v>
      </c>
      <c r="D560" t="s">
        <v>16</v>
      </c>
      <c r="E560" t="s">
        <v>26</v>
      </c>
      <c r="F560" t="s">
        <v>18</v>
      </c>
      <c r="G560">
        <v>6</v>
      </c>
      <c r="H560">
        <v>80100</v>
      </c>
      <c r="I560">
        <v>480600</v>
      </c>
    </row>
    <row r="561" spans="1:9" x14ac:dyDescent="0.35">
      <c r="A561" t="s">
        <v>602</v>
      </c>
      <c r="B561" s="1">
        <v>46153</v>
      </c>
      <c r="C561" t="s">
        <v>29</v>
      </c>
      <c r="D561" t="s">
        <v>25</v>
      </c>
      <c r="E561" t="s">
        <v>61</v>
      </c>
      <c r="F561" t="s">
        <v>13</v>
      </c>
      <c r="G561">
        <v>3</v>
      </c>
      <c r="H561">
        <v>6900</v>
      </c>
      <c r="I561">
        <v>20700</v>
      </c>
    </row>
    <row r="562" spans="1:9" x14ac:dyDescent="0.35">
      <c r="A562" t="s">
        <v>603</v>
      </c>
      <c r="B562" s="1">
        <v>46058</v>
      </c>
      <c r="C562" t="s">
        <v>44</v>
      </c>
      <c r="D562" t="s">
        <v>49</v>
      </c>
      <c r="E562" t="s">
        <v>37</v>
      </c>
      <c r="F562" t="s">
        <v>18</v>
      </c>
      <c r="G562">
        <v>1</v>
      </c>
      <c r="H562">
        <v>47500</v>
      </c>
      <c r="I562">
        <v>47500</v>
      </c>
    </row>
    <row r="563" spans="1:9" x14ac:dyDescent="0.35">
      <c r="A563" t="s">
        <v>604</v>
      </c>
      <c r="B563" s="1">
        <v>46195</v>
      </c>
      <c r="C563" t="s">
        <v>44</v>
      </c>
      <c r="D563" t="s">
        <v>11</v>
      </c>
      <c r="E563" t="s">
        <v>54</v>
      </c>
      <c r="F563" t="s">
        <v>55</v>
      </c>
      <c r="G563">
        <v>2</v>
      </c>
      <c r="H563">
        <v>21700</v>
      </c>
      <c r="I563">
        <v>43400</v>
      </c>
    </row>
    <row r="564" spans="1:9" x14ac:dyDescent="0.35">
      <c r="A564" t="s">
        <v>317</v>
      </c>
      <c r="B564" s="1">
        <v>46088</v>
      </c>
      <c r="C564" t="s">
        <v>65</v>
      </c>
      <c r="D564" t="s">
        <v>25</v>
      </c>
      <c r="E564" t="s">
        <v>32</v>
      </c>
      <c r="F564" t="s">
        <v>13</v>
      </c>
      <c r="G564">
        <v>4</v>
      </c>
      <c r="H564">
        <v>4000</v>
      </c>
      <c r="I564">
        <v>16000</v>
      </c>
    </row>
    <row r="565" spans="1:9" x14ac:dyDescent="0.35">
      <c r="A565" t="s">
        <v>605</v>
      </c>
      <c r="B565" s="1">
        <v>46134</v>
      </c>
      <c r="C565" t="s">
        <v>29</v>
      </c>
      <c r="D565" t="s">
        <v>36</v>
      </c>
      <c r="E565" t="s">
        <v>32</v>
      </c>
      <c r="F565" t="s">
        <v>13</v>
      </c>
      <c r="G565">
        <v>8</v>
      </c>
      <c r="H565">
        <v>5100</v>
      </c>
      <c r="I565">
        <v>40800</v>
      </c>
    </row>
    <row r="566" spans="1:9" x14ac:dyDescent="0.35">
      <c r="A566" t="s">
        <v>606</v>
      </c>
      <c r="B566" s="1">
        <v>46202</v>
      </c>
      <c r="C566" t="s">
        <v>44</v>
      </c>
      <c r="D566" t="s">
        <v>74</v>
      </c>
      <c r="E566" t="s">
        <v>32</v>
      </c>
      <c r="F566" t="s">
        <v>13</v>
      </c>
      <c r="G566">
        <v>3</v>
      </c>
      <c r="H566">
        <v>4400</v>
      </c>
      <c r="I566">
        <v>13200</v>
      </c>
    </row>
    <row r="567" spans="1:9" x14ac:dyDescent="0.35">
      <c r="A567" t="s">
        <v>607</v>
      </c>
      <c r="B567" s="1">
        <v>46121</v>
      </c>
      <c r="C567" t="s">
        <v>10</v>
      </c>
      <c r="D567" t="s">
        <v>49</v>
      </c>
      <c r="E567" t="s">
        <v>21</v>
      </c>
      <c r="F567" t="s">
        <v>22</v>
      </c>
      <c r="G567">
        <v>2</v>
      </c>
      <c r="H567">
        <v>28500</v>
      </c>
      <c r="I567">
        <v>57000</v>
      </c>
    </row>
    <row r="568" spans="1:9" x14ac:dyDescent="0.35">
      <c r="A568" t="s">
        <v>608</v>
      </c>
      <c r="B568" s="1">
        <v>46144</v>
      </c>
      <c r="C568" t="s">
        <v>31</v>
      </c>
      <c r="D568" t="s">
        <v>11</v>
      </c>
      <c r="E568" t="s">
        <v>37</v>
      </c>
      <c r="F568" t="s">
        <v>18</v>
      </c>
      <c r="G568">
        <v>7</v>
      </c>
      <c r="H568">
        <v>53000</v>
      </c>
      <c r="I568">
        <v>371000</v>
      </c>
    </row>
    <row r="569" spans="1:9" x14ac:dyDescent="0.35">
      <c r="A569" t="s">
        <v>609</v>
      </c>
      <c r="B569" s="1">
        <v>46141</v>
      </c>
      <c r="C569" t="s">
        <v>29</v>
      </c>
      <c r="D569" t="s">
        <v>16</v>
      </c>
      <c r="E569" t="s">
        <v>21</v>
      </c>
      <c r="F569" t="s">
        <v>22</v>
      </c>
      <c r="G569">
        <v>5</v>
      </c>
      <c r="H569">
        <v>28700</v>
      </c>
      <c r="I569">
        <v>143500</v>
      </c>
    </row>
    <row r="570" spans="1:9" x14ac:dyDescent="0.35">
      <c r="A570" t="s">
        <v>610</v>
      </c>
      <c r="B570" s="1">
        <v>46192</v>
      </c>
      <c r="C570" t="s">
        <v>10</v>
      </c>
      <c r="D570" t="s">
        <v>49</v>
      </c>
      <c r="E570" t="s">
        <v>21</v>
      </c>
      <c r="F570" t="s">
        <v>22</v>
      </c>
      <c r="G570">
        <v>2</v>
      </c>
      <c r="H570">
        <v>24500</v>
      </c>
      <c r="I570">
        <v>49000</v>
      </c>
    </row>
    <row r="571" spans="1:9" x14ac:dyDescent="0.35">
      <c r="A571" t="s">
        <v>611</v>
      </c>
      <c r="B571" s="1">
        <v>46123</v>
      </c>
      <c r="C571" t="s">
        <v>24</v>
      </c>
      <c r="D571" t="s">
        <v>16</v>
      </c>
      <c r="E571" t="s">
        <v>40</v>
      </c>
      <c r="F571" t="s">
        <v>13</v>
      </c>
      <c r="G571">
        <v>8</v>
      </c>
      <c r="H571">
        <v>5600</v>
      </c>
      <c r="I571">
        <v>44800</v>
      </c>
    </row>
    <row r="572" spans="1:9" x14ac:dyDescent="0.35">
      <c r="A572" t="s">
        <v>612</v>
      </c>
      <c r="B572" s="1">
        <v>46067</v>
      </c>
      <c r="C572" t="s">
        <v>46</v>
      </c>
      <c r="D572" t="s">
        <v>25</v>
      </c>
      <c r="E572" t="s">
        <v>37</v>
      </c>
      <c r="F572" t="s">
        <v>18</v>
      </c>
      <c r="G572">
        <v>6</v>
      </c>
      <c r="H572">
        <v>62200</v>
      </c>
      <c r="I572">
        <v>373200</v>
      </c>
    </row>
    <row r="573" spans="1:9" x14ac:dyDescent="0.35">
      <c r="A573" t="s">
        <v>613</v>
      </c>
      <c r="B573" s="1">
        <v>46082</v>
      </c>
      <c r="C573" t="s">
        <v>65</v>
      </c>
      <c r="D573" t="s">
        <v>11</v>
      </c>
      <c r="E573" t="s">
        <v>61</v>
      </c>
      <c r="F573" t="s">
        <v>13</v>
      </c>
      <c r="G573">
        <v>1</v>
      </c>
      <c r="H573">
        <v>9000</v>
      </c>
      <c r="I573">
        <v>9000</v>
      </c>
    </row>
    <row r="574" spans="1:9" x14ac:dyDescent="0.35">
      <c r="A574" t="s">
        <v>614</v>
      </c>
      <c r="B574" s="1">
        <v>46195</v>
      </c>
      <c r="C574" t="s">
        <v>15</v>
      </c>
      <c r="D574" t="s">
        <v>74</v>
      </c>
      <c r="E574" t="s">
        <v>26</v>
      </c>
      <c r="F574" t="s">
        <v>18</v>
      </c>
      <c r="G574">
        <v>2</v>
      </c>
      <c r="H574">
        <v>78100</v>
      </c>
      <c r="I574">
        <v>156200</v>
      </c>
    </row>
    <row r="575" spans="1:9" x14ac:dyDescent="0.35">
      <c r="A575" t="s">
        <v>615</v>
      </c>
      <c r="B575" s="1">
        <v>46171</v>
      </c>
      <c r="C575" t="s">
        <v>39</v>
      </c>
      <c r="D575" t="s">
        <v>16</v>
      </c>
      <c r="E575" t="s">
        <v>37</v>
      </c>
      <c r="F575" t="s">
        <v>18</v>
      </c>
      <c r="G575">
        <v>4</v>
      </c>
      <c r="H575">
        <v>51800</v>
      </c>
      <c r="I575">
        <v>207200</v>
      </c>
    </row>
    <row r="576" spans="1:9" x14ac:dyDescent="0.35">
      <c r="A576" t="s">
        <v>616</v>
      </c>
      <c r="B576" s="1">
        <v>46079</v>
      </c>
      <c r="C576" t="s">
        <v>44</v>
      </c>
      <c r="D576" t="s">
        <v>11</v>
      </c>
      <c r="E576" t="s">
        <v>32</v>
      </c>
      <c r="F576" t="s">
        <v>13</v>
      </c>
      <c r="G576">
        <v>1</v>
      </c>
      <c r="H576">
        <v>4200</v>
      </c>
      <c r="I576">
        <v>4200</v>
      </c>
    </row>
    <row r="577" spans="1:9" x14ac:dyDescent="0.35">
      <c r="A577" t="s">
        <v>617</v>
      </c>
      <c r="B577" s="1">
        <v>46088</v>
      </c>
      <c r="C577" t="s">
        <v>20</v>
      </c>
      <c r="D577" t="s">
        <v>25</v>
      </c>
      <c r="E577" t="s">
        <v>63</v>
      </c>
      <c r="F577" t="s">
        <v>55</v>
      </c>
      <c r="G577">
        <v>2</v>
      </c>
      <c r="H577">
        <v>29300</v>
      </c>
      <c r="I577">
        <v>58600</v>
      </c>
    </row>
    <row r="578" spans="1:9" x14ac:dyDescent="0.35">
      <c r="A578" t="s">
        <v>618</v>
      </c>
      <c r="B578" s="1">
        <v>46056</v>
      </c>
      <c r="C578" t="s">
        <v>34</v>
      </c>
      <c r="D578" t="s">
        <v>11</v>
      </c>
      <c r="E578" t="s">
        <v>21</v>
      </c>
      <c r="F578" t="s">
        <v>22</v>
      </c>
      <c r="G578">
        <v>4</v>
      </c>
      <c r="H578">
        <v>26000</v>
      </c>
      <c r="I578">
        <v>104000</v>
      </c>
    </row>
    <row r="579" spans="1:9" x14ac:dyDescent="0.35">
      <c r="A579" t="s">
        <v>619</v>
      </c>
      <c r="B579" s="1">
        <v>46027</v>
      </c>
      <c r="C579" t="s">
        <v>39</v>
      </c>
      <c r="D579" t="s">
        <v>49</v>
      </c>
      <c r="E579" t="s">
        <v>63</v>
      </c>
      <c r="F579" t="s">
        <v>55</v>
      </c>
      <c r="G579">
        <v>5</v>
      </c>
      <c r="H579">
        <v>29800</v>
      </c>
      <c r="I579">
        <v>149000</v>
      </c>
    </row>
    <row r="580" spans="1:9" x14ac:dyDescent="0.35">
      <c r="A580" t="s">
        <v>620</v>
      </c>
      <c r="B580" s="1">
        <v>46062</v>
      </c>
      <c r="C580" t="s">
        <v>15</v>
      </c>
      <c r="D580" t="s">
        <v>49</v>
      </c>
      <c r="E580" t="s">
        <v>54</v>
      </c>
      <c r="F580" t="s">
        <v>55</v>
      </c>
      <c r="G580">
        <v>8</v>
      </c>
      <c r="H580">
        <v>23800</v>
      </c>
      <c r="I580">
        <v>190400</v>
      </c>
    </row>
    <row r="581" spans="1:9" x14ac:dyDescent="0.35">
      <c r="A581" t="s">
        <v>621</v>
      </c>
      <c r="B581" s="1">
        <v>46202</v>
      </c>
      <c r="C581" t="s">
        <v>20</v>
      </c>
      <c r="D581" t="s">
        <v>622</v>
      </c>
      <c r="E581" t="s">
        <v>12</v>
      </c>
      <c r="F581" t="s">
        <v>13</v>
      </c>
      <c r="G581">
        <v>5</v>
      </c>
      <c r="H581">
        <v>2700</v>
      </c>
      <c r="I581">
        <v>13500</v>
      </c>
    </row>
    <row r="582" spans="1:9" x14ac:dyDescent="0.35">
      <c r="A582" t="s">
        <v>623</v>
      </c>
      <c r="B582" s="1">
        <v>46104</v>
      </c>
      <c r="C582" t="s">
        <v>10</v>
      </c>
      <c r="D582" t="s">
        <v>11</v>
      </c>
      <c r="E582" t="s">
        <v>21</v>
      </c>
      <c r="F582" t="s">
        <v>22</v>
      </c>
      <c r="G582">
        <v>3</v>
      </c>
      <c r="H582">
        <v>31900</v>
      </c>
      <c r="I582">
        <v>95700</v>
      </c>
    </row>
    <row r="583" spans="1:9" x14ac:dyDescent="0.35">
      <c r="A583" t="s">
        <v>624</v>
      </c>
      <c r="B583" s="1">
        <v>46040</v>
      </c>
      <c r="C583" t="s">
        <v>20</v>
      </c>
      <c r="D583" t="s">
        <v>36</v>
      </c>
      <c r="E583" t="s">
        <v>54</v>
      </c>
      <c r="F583" t="s">
        <v>55</v>
      </c>
      <c r="G583">
        <v>1</v>
      </c>
      <c r="H583">
        <v>24900</v>
      </c>
      <c r="I583">
        <v>24900</v>
      </c>
    </row>
    <row r="584" spans="1:9" x14ac:dyDescent="0.35">
      <c r="A584" t="s">
        <v>625</v>
      </c>
      <c r="B584" s="1">
        <v>46115</v>
      </c>
      <c r="C584" t="s">
        <v>31</v>
      </c>
      <c r="D584" t="s">
        <v>16</v>
      </c>
      <c r="E584" t="s">
        <v>54</v>
      </c>
      <c r="F584" t="s">
        <v>55</v>
      </c>
      <c r="G584">
        <v>8</v>
      </c>
      <c r="H584">
        <v>19700</v>
      </c>
      <c r="I584">
        <v>157600</v>
      </c>
    </row>
    <row r="585" spans="1:9" x14ac:dyDescent="0.35">
      <c r="A585" t="s">
        <v>626</v>
      </c>
      <c r="B585" s="1">
        <v>46045</v>
      </c>
      <c r="C585" t="s">
        <v>29</v>
      </c>
      <c r="D585" t="s">
        <v>49</v>
      </c>
      <c r="E585" t="s">
        <v>61</v>
      </c>
      <c r="F585" t="s">
        <v>13</v>
      </c>
      <c r="G585">
        <v>3</v>
      </c>
      <c r="H585">
        <v>8300</v>
      </c>
      <c r="I585">
        <v>24900</v>
      </c>
    </row>
    <row r="586" spans="1:9" x14ac:dyDescent="0.35">
      <c r="A586" t="s">
        <v>627</v>
      </c>
      <c r="B586" s="1">
        <v>46121</v>
      </c>
      <c r="C586" t="s">
        <v>51</v>
      </c>
      <c r="D586" t="s">
        <v>74</v>
      </c>
      <c r="E586" t="s">
        <v>32</v>
      </c>
      <c r="F586" t="s">
        <v>13</v>
      </c>
      <c r="G586">
        <v>7</v>
      </c>
      <c r="H586">
        <v>4600</v>
      </c>
      <c r="I586">
        <v>32200</v>
      </c>
    </row>
    <row r="587" spans="1:9" x14ac:dyDescent="0.35">
      <c r="A587" t="s">
        <v>628</v>
      </c>
      <c r="B587" s="1">
        <v>46060</v>
      </c>
      <c r="C587" t="s">
        <v>46</v>
      </c>
      <c r="D587" t="s">
        <v>11</v>
      </c>
      <c r="E587" t="s">
        <v>63</v>
      </c>
      <c r="F587" t="s">
        <v>55</v>
      </c>
      <c r="G587">
        <v>5</v>
      </c>
      <c r="H587">
        <v>29700</v>
      </c>
      <c r="I587">
        <v>148500</v>
      </c>
    </row>
    <row r="588" spans="1:9" x14ac:dyDescent="0.35">
      <c r="A588" t="s">
        <v>629</v>
      </c>
      <c r="B588" s="1">
        <v>46183</v>
      </c>
      <c r="C588" t="s">
        <v>29</v>
      </c>
      <c r="D588" t="s">
        <v>11</v>
      </c>
      <c r="E588" t="s">
        <v>32</v>
      </c>
      <c r="F588" t="s">
        <v>13</v>
      </c>
      <c r="G588">
        <v>4</v>
      </c>
      <c r="H588">
        <v>4200</v>
      </c>
      <c r="I588">
        <v>16800</v>
      </c>
    </row>
    <row r="589" spans="1:9" x14ac:dyDescent="0.35">
      <c r="A589" t="s">
        <v>630</v>
      </c>
      <c r="B589" s="1">
        <v>46055</v>
      </c>
      <c r="C589" t="s">
        <v>15</v>
      </c>
      <c r="D589" t="s">
        <v>74</v>
      </c>
      <c r="E589" t="s">
        <v>37</v>
      </c>
      <c r="F589" t="s">
        <v>18</v>
      </c>
      <c r="G589">
        <v>1</v>
      </c>
      <c r="H589">
        <v>50800</v>
      </c>
      <c r="I589">
        <v>50800</v>
      </c>
    </row>
    <row r="590" spans="1:9" x14ac:dyDescent="0.35">
      <c r="A590" t="s">
        <v>631</v>
      </c>
      <c r="B590" s="1">
        <v>46040</v>
      </c>
      <c r="C590" t="s">
        <v>29</v>
      </c>
      <c r="D590" t="s">
        <v>74</v>
      </c>
      <c r="E590" t="s">
        <v>37</v>
      </c>
      <c r="F590" t="s">
        <v>18</v>
      </c>
      <c r="G590">
        <v>1</v>
      </c>
      <c r="H590">
        <v>50700</v>
      </c>
      <c r="I590">
        <v>50700</v>
      </c>
    </row>
    <row r="591" spans="1:9" x14ac:dyDescent="0.35">
      <c r="A591" t="s">
        <v>632</v>
      </c>
      <c r="B591" s="1">
        <v>46136</v>
      </c>
      <c r="C591" t="s">
        <v>65</v>
      </c>
      <c r="D591" t="s">
        <v>36</v>
      </c>
      <c r="E591" t="s">
        <v>32</v>
      </c>
      <c r="F591" t="s">
        <v>13</v>
      </c>
      <c r="G591">
        <v>7</v>
      </c>
      <c r="H591">
        <v>4700</v>
      </c>
      <c r="I591">
        <v>32900</v>
      </c>
    </row>
    <row r="592" spans="1:9" x14ac:dyDescent="0.35">
      <c r="A592" t="s">
        <v>633</v>
      </c>
      <c r="B592" s="1">
        <v>46129</v>
      </c>
      <c r="C592" t="s">
        <v>20</v>
      </c>
      <c r="D592" t="s">
        <v>16</v>
      </c>
      <c r="E592" t="s">
        <v>26</v>
      </c>
      <c r="F592" t="s">
        <v>18</v>
      </c>
      <c r="G592">
        <v>1</v>
      </c>
      <c r="H592">
        <v>89800</v>
      </c>
      <c r="I592">
        <v>89800</v>
      </c>
    </row>
    <row r="593" spans="1:9" x14ac:dyDescent="0.35">
      <c r="A593" t="s">
        <v>634</v>
      </c>
      <c r="B593" s="1">
        <v>46050</v>
      </c>
      <c r="C593" t="s">
        <v>65</v>
      </c>
      <c r="D593" t="s">
        <v>25</v>
      </c>
      <c r="E593" t="s">
        <v>37</v>
      </c>
      <c r="F593" t="s">
        <v>18</v>
      </c>
      <c r="G593">
        <v>6</v>
      </c>
      <c r="H593">
        <v>60000</v>
      </c>
      <c r="I593">
        <v>360000</v>
      </c>
    </row>
    <row r="594" spans="1:9" x14ac:dyDescent="0.35">
      <c r="A594" t="s">
        <v>635</v>
      </c>
      <c r="B594" s="1">
        <v>46083</v>
      </c>
      <c r="C594" t="s">
        <v>34</v>
      </c>
      <c r="D594" t="s">
        <v>11</v>
      </c>
      <c r="E594" t="s">
        <v>54</v>
      </c>
      <c r="F594" t="s">
        <v>55</v>
      </c>
      <c r="G594">
        <v>1</v>
      </c>
      <c r="H594">
        <v>22800</v>
      </c>
      <c r="I594">
        <v>22800</v>
      </c>
    </row>
    <row r="595" spans="1:9" x14ac:dyDescent="0.35">
      <c r="A595" t="s">
        <v>636</v>
      </c>
      <c r="B595" s="1">
        <v>46126</v>
      </c>
      <c r="C595" t="s">
        <v>31</v>
      </c>
      <c r="D595" t="s">
        <v>49</v>
      </c>
      <c r="E595" t="s">
        <v>37</v>
      </c>
      <c r="F595" t="s">
        <v>18</v>
      </c>
      <c r="G595">
        <v>7</v>
      </c>
      <c r="H595">
        <v>51500</v>
      </c>
      <c r="I595">
        <v>360500</v>
      </c>
    </row>
    <row r="596" spans="1:9" x14ac:dyDescent="0.35">
      <c r="A596" t="s">
        <v>637</v>
      </c>
      <c r="B596" s="1">
        <v>46140</v>
      </c>
      <c r="C596" t="s">
        <v>39</v>
      </c>
      <c r="D596" t="s">
        <v>25</v>
      </c>
      <c r="E596" t="s">
        <v>63</v>
      </c>
      <c r="F596" t="s">
        <v>55</v>
      </c>
      <c r="G596">
        <v>3</v>
      </c>
      <c r="H596">
        <v>26300</v>
      </c>
      <c r="I596">
        <v>78900</v>
      </c>
    </row>
    <row r="597" spans="1:9" x14ac:dyDescent="0.35">
      <c r="A597" t="s">
        <v>638</v>
      </c>
      <c r="B597" s="1">
        <v>46084</v>
      </c>
      <c r="C597" t="s">
        <v>31</v>
      </c>
      <c r="D597" t="s">
        <v>74</v>
      </c>
      <c r="E597" t="s">
        <v>40</v>
      </c>
      <c r="F597" t="s">
        <v>13</v>
      </c>
      <c r="G597">
        <v>4</v>
      </c>
      <c r="H597">
        <v>5800</v>
      </c>
      <c r="I597">
        <v>23200</v>
      </c>
    </row>
    <row r="598" spans="1:9" x14ac:dyDescent="0.35">
      <c r="A598" t="s">
        <v>639</v>
      </c>
      <c r="B598" s="1">
        <v>46105</v>
      </c>
      <c r="C598" t="s">
        <v>15</v>
      </c>
      <c r="D598" t="s">
        <v>36</v>
      </c>
      <c r="E598" t="s">
        <v>61</v>
      </c>
      <c r="F598" t="s">
        <v>13</v>
      </c>
      <c r="G598">
        <v>3</v>
      </c>
      <c r="H598">
        <v>6900</v>
      </c>
      <c r="I598">
        <v>20700</v>
      </c>
    </row>
    <row r="599" spans="1:9" x14ac:dyDescent="0.35">
      <c r="A599" t="s">
        <v>640</v>
      </c>
      <c r="B599" s="1">
        <v>46170</v>
      </c>
      <c r="C599" t="s">
        <v>10</v>
      </c>
      <c r="D599" t="s">
        <v>16</v>
      </c>
      <c r="E599" t="s">
        <v>21</v>
      </c>
      <c r="F599" t="s">
        <v>22</v>
      </c>
      <c r="G599">
        <v>6</v>
      </c>
      <c r="H599">
        <v>27900</v>
      </c>
      <c r="I599">
        <v>167400</v>
      </c>
    </row>
    <row r="600" spans="1:9" x14ac:dyDescent="0.35">
      <c r="A600" t="s">
        <v>641</v>
      </c>
      <c r="B600" s="1">
        <v>46103</v>
      </c>
      <c r="C600" t="s">
        <v>10</v>
      </c>
      <c r="D600" t="s">
        <v>49</v>
      </c>
      <c r="E600" t="s">
        <v>37</v>
      </c>
      <c r="F600" t="s">
        <v>18</v>
      </c>
      <c r="G600">
        <v>1</v>
      </c>
      <c r="H600">
        <v>54300</v>
      </c>
      <c r="I600">
        <v>54300</v>
      </c>
    </row>
    <row r="601" spans="1:9" x14ac:dyDescent="0.35">
      <c r="A601" t="s">
        <v>642</v>
      </c>
      <c r="B601" s="1">
        <v>46150</v>
      </c>
      <c r="C601" t="s">
        <v>15</v>
      </c>
      <c r="D601" t="s">
        <v>74</v>
      </c>
      <c r="E601" t="s">
        <v>37</v>
      </c>
      <c r="F601" t="s">
        <v>18</v>
      </c>
      <c r="G601">
        <v>8</v>
      </c>
      <c r="H601">
        <v>47800</v>
      </c>
      <c r="I601">
        <v>382400</v>
      </c>
    </row>
    <row r="602" spans="1:9" x14ac:dyDescent="0.35">
      <c r="A602" t="s">
        <v>643</v>
      </c>
      <c r="B602" s="1">
        <v>46079</v>
      </c>
      <c r="C602" t="s">
        <v>31</v>
      </c>
      <c r="D602" t="s">
        <v>74</v>
      </c>
      <c r="E602" t="s">
        <v>17</v>
      </c>
      <c r="F602" t="s">
        <v>18</v>
      </c>
      <c r="G602">
        <v>1</v>
      </c>
      <c r="H602">
        <v>32200</v>
      </c>
      <c r="I602">
        <v>32200</v>
      </c>
    </row>
    <row r="603" spans="1:9" x14ac:dyDescent="0.35">
      <c r="A603" t="s">
        <v>644</v>
      </c>
      <c r="B603" s="1">
        <v>46200</v>
      </c>
      <c r="C603" t="s">
        <v>31</v>
      </c>
      <c r="D603" t="s">
        <v>49</v>
      </c>
      <c r="E603" t="s">
        <v>54</v>
      </c>
      <c r="F603" t="s">
        <v>55</v>
      </c>
      <c r="G603">
        <v>6</v>
      </c>
      <c r="H603">
        <v>22900</v>
      </c>
      <c r="I603">
        <v>137400</v>
      </c>
    </row>
    <row r="604" spans="1:9" x14ac:dyDescent="0.35">
      <c r="A604" t="s">
        <v>645</v>
      </c>
      <c r="B604" s="1">
        <v>46064</v>
      </c>
      <c r="C604" t="s">
        <v>10</v>
      </c>
      <c r="D604" t="s">
        <v>11</v>
      </c>
      <c r="E604" t="s">
        <v>12</v>
      </c>
      <c r="F604" t="s">
        <v>13</v>
      </c>
      <c r="G604">
        <v>5</v>
      </c>
      <c r="H604">
        <v>2700</v>
      </c>
      <c r="I604">
        <v>13500</v>
      </c>
    </row>
    <row r="605" spans="1:9" x14ac:dyDescent="0.35">
      <c r="A605" t="s">
        <v>646</v>
      </c>
      <c r="B605" s="1">
        <v>46125</v>
      </c>
      <c r="C605" t="s">
        <v>647</v>
      </c>
      <c r="D605" t="s">
        <v>25</v>
      </c>
      <c r="E605" t="s">
        <v>63</v>
      </c>
      <c r="F605" t="s">
        <v>55</v>
      </c>
      <c r="G605">
        <v>7</v>
      </c>
      <c r="H605">
        <v>33600</v>
      </c>
      <c r="I605">
        <v>235200</v>
      </c>
    </row>
    <row r="606" spans="1:9" x14ac:dyDescent="0.35">
      <c r="A606" t="s">
        <v>648</v>
      </c>
      <c r="B606" s="1">
        <v>46160</v>
      </c>
      <c r="C606" t="s">
        <v>44</v>
      </c>
      <c r="D606" t="s">
        <v>25</v>
      </c>
      <c r="E606" t="s">
        <v>12</v>
      </c>
      <c r="F606" t="s">
        <v>13</v>
      </c>
      <c r="G606">
        <v>6</v>
      </c>
      <c r="H606">
        <v>2200</v>
      </c>
      <c r="I606">
        <v>13200</v>
      </c>
    </row>
    <row r="607" spans="1:9" x14ac:dyDescent="0.35">
      <c r="A607" t="s">
        <v>649</v>
      </c>
      <c r="B607" s="1">
        <v>46138</v>
      </c>
      <c r="C607" t="s">
        <v>20</v>
      </c>
      <c r="D607" t="s">
        <v>11</v>
      </c>
      <c r="E607" t="s">
        <v>32</v>
      </c>
      <c r="F607" t="s">
        <v>13</v>
      </c>
      <c r="G607">
        <v>6</v>
      </c>
      <c r="H607">
        <v>4700</v>
      </c>
      <c r="I607">
        <v>28200</v>
      </c>
    </row>
    <row r="608" spans="1:9" x14ac:dyDescent="0.35">
      <c r="A608" t="s">
        <v>650</v>
      </c>
      <c r="B608" s="1">
        <v>46041</v>
      </c>
      <c r="C608" t="s">
        <v>10</v>
      </c>
      <c r="D608" t="s">
        <v>16</v>
      </c>
      <c r="E608" t="s">
        <v>63</v>
      </c>
      <c r="F608" t="s">
        <v>55</v>
      </c>
      <c r="G608">
        <v>1</v>
      </c>
      <c r="H608">
        <v>28700</v>
      </c>
      <c r="I608">
        <v>28700</v>
      </c>
    </row>
    <row r="609" spans="1:9" x14ac:dyDescent="0.35">
      <c r="A609" t="s">
        <v>651</v>
      </c>
      <c r="B609" s="1">
        <v>46121</v>
      </c>
      <c r="C609" t="s">
        <v>31</v>
      </c>
      <c r="D609" t="s">
        <v>25</v>
      </c>
      <c r="E609" t="s">
        <v>40</v>
      </c>
      <c r="F609" t="s">
        <v>13</v>
      </c>
      <c r="G609">
        <v>2</v>
      </c>
      <c r="H609">
        <v>6100</v>
      </c>
      <c r="I609">
        <v>12200</v>
      </c>
    </row>
    <row r="610" spans="1:9" x14ac:dyDescent="0.35">
      <c r="A610" t="s">
        <v>652</v>
      </c>
      <c r="B610" s="1">
        <v>46190</v>
      </c>
      <c r="C610" t="s">
        <v>31</v>
      </c>
      <c r="D610" t="s">
        <v>49</v>
      </c>
      <c r="E610" t="s">
        <v>12</v>
      </c>
      <c r="F610" t="s">
        <v>13</v>
      </c>
      <c r="G610">
        <v>6</v>
      </c>
      <c r="H610">
        <v>2400</v>
      </c>
      <c r="I610">
        <v>14400</v>
      </c>
    </row>
    <row r="611" spans="1:9" x14ac:dyDescent="0.35">
      <c r="A611" t="s">
        <v>653</v>
      </c>
      <c r="B611" s="1">
        <v>46056</v>
      </c>
      <c r="C611" t="s">
        <v>29</v>
      </c>
      <c r="D611" t="s">
        <v>49</v>
      </c>
      <c r="E611" t="s">
        <v>61</v>
      </c>
      <c r="F611" t="s">
        <v>13</v>
      </c>
      <c r="G611">
        <v>1</v>
      </c>
      <c r="H611">
        <v>8200</v>
      </c>
      <c r="I611">
        <v>8200</v>
      </c>
    </row>
    <row r="612" spans="1:9" x14ac:dyDescent="0.35">
      <c r="A612" t="s">
        <v>654</v>
      </c>
      <c r="B612" s="1">
        <v>46140</v>
      </c>
      <c r="C612" t="s">
        <v>44</v>
      </c>
      <c r="D612" t="s">
        <v>25</v>
      </c>
      <c r="E612" t="s">
        <v>37</v>
      </c>
      <c r="F612" t="s">
        <v>18</v>
      </c>
      <c r="G612">
        <v>6</v>
      </c>
      <c r="H612">
        <v>57200</v>
      </c>
      <c r="I612">
        <v>343200</v>
      </c>
    </row>
    <row r="613" spans="1:9" x14ac:dyDescent="0.35">
      <c r="A613" t="s">
        <v>655</v>
      </c>
      <c r="B613" s="1">
        <v>46192</v>
      </c>
      <c r="C613" t="s">
        <v>65</v>
      </c>
      <c r="D613" t="s">
        <v>74</v>
      </c>
      <c r="E613" t="s">
        <v>37</v>
      </c>
      <c r="F613" t="s">
        <v>18</v>
      </c>
      <c r="G613">
        <v>6</v>
      </c>
      <c r="H613">
        <v>55000</v>
      </c>
      <c r="I613">
        <v>330000</v>
      </c>
    </row>
    <row r="614" spans="1:9" x14ac:dyDescent="0.35">
      <c r="A614" t="s">
        <v>656</v>
      </c>
      <c r="B614" s="1">
        <v>46180</v>
      </c>
      <c r="C614" t="s">
        <v>65</v>
      </c>
      <c r="D614" t="s">
        <v>25</v>
      </c>
      <c r="E614" t="s">
        <v>61</v>
      </c>
      <c r="F614" t="s">
        <v>13</v>
      </c>
      <c r="G614">
        <v>1</v>
      </c>
      <c r="H614">
        <v>7600</v>
      </c>
      <c r="I614">
        <v>7600</v>
      </c>
    </row>
    <row r="615" spans="1:9" x14ac:dyDescent="0.35">
      <c r="A615" t="s">
        <v>657</v>
      </c>
      <c r="B615" s="1">
        <v>46084</v>
      </c>
      <c r="C615" t="s">
        <v>20</v>
      </c>
      <c r="D615" t="s">
        <v>74</v>
      </c>
      <c r="E615" t="s">
        <v>17</v>
      </c>
      <c r="F615" t="s">
        <v>18</v>
      </c>
      <c r="G615">
        <v>7</v>
      </c>
      <c r="H615">
        <v>36300</v>
      </c>
      <c r="I615">
        <v>254100</v>
      </c>
    </row>
    <row r="616" spans="1:9" x14ac:dyDescent="0.35">
      <c r="A616" t="s">
        <v>658</v>
      </c>
      <c r="B616" s="1">
        <v>46070</v>
      </c>
      <c r="C616" t="s">
        <v>20</v>
      </c>
      <c r="D616" t="s">
        <v>11</v>
      </c>
      <c r="E616" t="s">
        <v>61</v>
      </c>
      <c r="F616" t="s">
        <v>13</v>
      </c>
      <c r="G616">
        <v>7</v>
      </c>
      <c r="H616">
        <v>7600</v>
      </c>
      <c r="I616">
        <v>53200</v>
      </c>
    </row>
    <row r="617" spans="1:9" x14ac:dyDescent="0.35">
      <c r="A617" t="s">
        <v>659</v>
      </c>
      <c r="B617" s="1">
        <v>46181</v>
      </c>
      <c r="C617" t="s">
        <v>24</v>
      </c>
      <c r="D617" t="s">
        <v>16</v>
      </c>
      <c r="E617" t="s">
        <v>21</v>
      </c>
      <c r="F617" t="s">
        <v>22</v>
      </c>
      <c r="G617">
        <v>5</v>
      </c>
      <c r="H617">
        <v>25600</v>
      </c>
      <c r="I617">
        <v>128000</v>
      </c>
    </row>
    <row r="618" spans="1:9" x14ac:dyDescent="0.35">
      <c r="A618" t="s">
        <v>660</v>
      </c>
      <c r="B618" s="1">
        <v>46194</v>
      </c>
      <c r="C618" t="s">
        <v>39</v>
      </c>
      <c r="D618" t="s">
        <v>74</v>
      </c>
      <c r="E618" t="s">
        <v>54</v>
      </c>
      <c r="F618" t="s">
        <v>55</v>
      </c>
      <c r="G618">
        <v>4</v>
      </c>
      <c r="H618">
        <v>25200</v>
      </c>
      <c r="I618">
        <v>100800</v>
      </c>
    </row>
    <row r="619" spans="1:9" x14ac:dyDescent="0.35">
      <c r="A619" t="s">
        <v>661</v>
      </c>
      <c r="B619" s="1">
        <v>46166</v>
      </c>
      <c r="C619" t="s">
        <v>51</v>
      </c>
      <c r="D619" t="s">
        <v>16</v>
      </c>
      <c r="E619" t="s">
        <v>54</v>
      </c>
      <c r="F619" t="s">
        <v>55</v>
      </c>
      <c r="G619">
        <v>6</v>
      </c>
      <c r="H619">
        <v>19900</v>
      </c>
      <c r="I619">
        <v>119400</v>
      </c>
    </row>
    <row r="620" spans="1:9" x14ac:dyDescent="0.35">
      <c r="A620" t="s">
        <v>662</v>
      </c>
      <c r="B620" s="1">
        <v>46049</v>
      </c>
      <c r="C620" t="s">
        <v>51</v>
      </c>
      <c r="D620" t="s">
        <v>74</v>
      </c>
      <c r="E620" t="s">
        <v>12</v>
      </c>
      <c r="F620" t="s">
        <v>13</v>
      </c>
      <c r="G620">
        <v>6</v>
      </c>
      <c r="H620">
        <v>2400</v>
      </c>
      <c r="I620">
        <v>14400</v>
      </c>
    </row>
    <row r="621" spans="1:9" x14ac:dyDescent="0.35">
      <c r="A621" t="s">
        <v>663</v>
      </c>
      <c r="B621" s="1">
        <v>46101</v>
      </c>
      <c r="C621" t="s">
        <v>44</v>
      </c>
      <c r="D621" t="s">
        <v>11</v>
      </c>
      <c r="E621" t="s">
        <v>26</v>
      </c>
      <c r="F621" t="s">
        <v>18</v>
      </c>
      <c r="G621">
        <v>4</v>
      </c>
      <c r="H621">
        <v>78700</v>
      </c>
      <c r="I621">
        <v>314800</v>
      </c>
    </row>
    <row r="622" spans="1:9" x14ac:dyDescent="0.35">
      <c r="A622" t="s">
        <v>664</v>
      </c>
      <c r="B622" s="1">
        <v>46105</v>
      </c>
      <c r="C622" t="s">
        <v>65</v>
      </c>
      <c r="D622" t="s">
        <v>11</v>
      </c>
      <c r="E622" t="s">
        <v>32</v>
      </c>
      <c r="F622" t="s">
        <v>13</v>
      </c>
      <c r="G622">
        <v>3</v>
      </c>
      <c r="H622">
        <v>4200</v>
      </c>
      <c r="I622">
        <v>12600</v>
      </c>
    </row>
    <row r="623" spans="1:9" x14ac:dyDescent="0.35">
      <c r="A623" t="s">
        <v>665</v>
      </c>
      <c r="B623" s="1">
        <v>46062</v>
      </c>
      <c r="C623" t="s">
        <v>51</v>
      </c>
      <c r="D623" t="s">
        <v>49</v>
      </c>
      <c r="E623" t="s">
        <v>12</v>
      </c>
      <c r="F623" t="s">
        <v>13</v>
      </c>
      <c r="G623">
        <v>7</v>
      </c>
      <c r="H623">
        <v>2300</v>
      </c>
      <c r="I623">
        <v>16100</v>
      </c>
    </row>
    <row r="624" spans="1:9" x14ac:dyDescent="0.35">
      <c r="A624" t="s">
        <v>666</v>
      </c>
      <c r="B624" s="1">
        <v>46037</v>
      </c>
      <c r="C624" t="s">
        <v>31</v>
      </c>
      <c r="D624" t="s">
        <v>74</v>
      </c>
      <c r="E624" t="s">
        <v>63</v>
      </c>
      <c r="F624" t="s">
        <v>55</v>
      </c>
      <c r="G624">
        <v>1</v>
      </c>
      <c r="H624">
        <v>32200</v>
      </c>
      <c r="I624">
        <v>32200</v>
      </c>
    </row>
    <row r="625" spans="1:9" x14ac:dyDescent="0.35">
      <c r="A625" t="s">
        <v>667</v>
      </c>
      <c r="B625" s="1">
        <v>46047</v>
      </c>
      <c r="C625" t="s">
        <v>24</v>
      </c>
      <c r="D625" t="s">
        <v>11</v>
      </c>
      <c r="E625" t="s">
        <v>12</v>
      </c>
      <c r="F625" t="s">
        <v>13</v>
      </c>
      <c r="G625">
        <v>1</v>
      </c>
      <c r="H625">
        <v>2300</v>
      </c>
      <c r="I625">
        <v>2300</v>
      </c>
    </row>
    <row r="626" spans="1:9" x14ac:dyDescent="0.35">
      <c r="A626" t="s">
        <v>668</v>
      </c>
      <c r="B626" s="1">
        <v>46075</v>
      </c>
      <c r="C626" t="s">
        <v>10</v>
      </c>
      <c r="D626" t="s">
        <v>74</v>
      </c>
      <c r="E626" t="s">
        <v>61</v>
      </c>
      <c r="F626" t="s">
        <v>13</v>
      </c>
      <c r="G626">
        <v>8</v>
      </c>
      <c r="H626">
        <v>8600</v>
      </c>
      <c r="I626">
        <v>68800</v>
      </c>
    </row>
    <row r="627" spans="1:9" x14ac:dyDescent="0.35">
      <c r="A627" t="s">
        <v>669</v>
      </c>
      <c r="B627" s="1">
        <v>46131</v>
      </c>
      <c r="C627" t="s">
        <v>39</v>
      </c>
      <c r="D627" t="s">
        <v>49</v>
      </c>
      <c r="E627" t="s">
        <v>17</v>
      </c>
      <c r="F627" t="s">
        <v>18</v>
      </c>
      <c r="G627">
        <v>2</v>
      </c>
      <c r="H627">
        <v>36800</v>
      </c>
      <c r="I627">
        <v>73600</v>
      </c>
    </row>
    <row r="628" spans="1:9" x14ac:dyDescent="0.35">
      <c r="A628" t="s">
        <v>670</v>
      </c>
      <c r="B628" s="1">
        <v>46139</v>
      </c>
      <c r="C628" t="s">
        <v>31</v>
      </c>
      <c r="D628" t="s">
        <v>11</v>
      </c>
      <c r="E628" t="s">
        <v>61</v>
      </c>
      <c r="F628" t="s">
        <v>13</v>
      </c>
      <c r="G628">
        <v>2</v>
      </c>
      <c r="H628">
        <v>8100</v>
      </c>
      <c r="I628">
        <v>16200</v>
      </c>
    </row>
    <row r="629" spans="1:9" x14ac:dyDescent="0.35">
      <c r="A629" t="s">
        <v>671</v>
      </c>
      <c r="B629" s="1">
        <v>46166</v>
      </c>
      <c r="C629" t="s">
        <v>24</v>
      </c>
      <c r="D629" t="s">
        <v>49</v>
      </c>
      <c r="E629" t="s">
        <v>32</v>
      </c>
      <c r="F629" t="s">
        <v>13</v>
      </c>
      <c r="G629">
        <v>5</v>
      </c>
      <c r="H629">
        <v>4000</v>
      </c>
      <c r="I629">
        <v>20000</v>
      </c>
    </row>
    <row r="630" spans="1:9" x14ac:dyDescent="0.35">
      <c r="A630" t="s">
        <v>672</v>
      </c>
      <c r="B630" s="1">
        <v>46045</v>
      </c>
      <c r="C630" t="s">
        <v>20</v>
      </c>
      <c r="D630" t="s">
        <v>36</v>
      </c>
      <c r="E630" t="s">
        <v>26</v>
      </c>
      <c r="F630" t="s">
        <v>18</v>
      </c>
      <c r="G630">
        <v>8</v>
      </c>
      <c r="H630">
        <v>79000</v>
      </c>
      <c r="I630">
        <v>632000</v>
      </c>
    </row>
    <row r="631" spans="1:9" x14ac:dyDescent="0.35">
      <c r="A631" t="s">
        <v>673</v>
      </c>
      <c r="B631" s="1">
        <v>46033</v>
      </c>
      <c r="C631" t="s">
        <v>15</v>
      </c>
      <c r="D631" t="s">
        <v>36</v>
      </c>
      <c r="E631" t="s">
        <v>63</v>
      </c>
      <c r="F631" t="s">
        <v>55</v>
      </c>
      <c r="G631">
        <v>4</v>
      </c>
      <c r="H631">
        <v>30700</v>
      </c>
      <c r="I631">
        <v>122800</v>
      </c>
    </row>
    <row r="632" spans="1:9" x14ac:dyDescent="0.35">
      <c r="A632" t="s">
        <v>674</v>
      </c>
      <c r="B632" s="1">
        <v>46194</v>
      </c>
      <c r="C632" t="s">
        <v>31</v>
      </c>
      <c r="D632" t="s">
        <v>16</v>
      </c>
      <c r="E632" t="s">
        <v>61</v>
      </c>
      <c r="F632" t="s">
        <v>13</v>
      </c>
      <c r="G632">
        <v>3</v>
      </c>
      <c r="H632">
        <v>8500</v>
      </c>
      <c r="I632">
        <v>25500</v>
      </c>
    </row>
    <row r="633" spans="1:9" x14ac:dyDescent="0.35">
      <c r="A633" t="s">
        <v>675</v>
      </c>
      <c r="B633" s="1">
        <v>46115</v>
      </c>
      <c r="C633" t="s">
        <v>65</v>
      </c>
      <c r="D633" t="s">
        <v>11</v>
      </c>
      <c r="E633" t="s">
        <v>12</v>
      </c>
      <c r="F633" t="s">
        <v>13</v>
      </c>
      <c r="G633">
        <v>3</v>
      </c>
      <c r="H633">
        <v>2600</v>
      </c>
      <c r="I633">
        <v>7800</v>
      </c>
    </row>
    <row r="634" spans="1:9" x14ac:dyDescent="0.35">
      <c r="A634" t="s">
        <v>676</v>
      </c>
      <c r="B634" s="1">
        <v>46091</v>
      </c>
      <c r="C634" t="s">
        <v>24</v>
      </c>
      <c r="D634" t="s">
        <v>11</v>
      </c>
      <c r="E634" t="s">
        <v>21</v>
      </c>
      <c r="F634" t="s">
        <v>22</v>
      </c>
      <c r="G634">
        <v>5</v>
      </c>
      <c r="H634">
        <v>26200</v>
      </c>
      <c r="I634">
        <v>131000</v>
      </c>
    </row>
    <row r="635" spans="1:9" x14ac:dyDescent="0.35">
      <c r="A635" t="s">
        <v>677</v>
      </c>
      <c r="B635" s="1">
        <v>46034</v>
      </c>
      <c r="C635" t="s">
        <v>10</v>
      </c>
      <c r="D635" t="s">
        <v>49</v>
      </c>
      <c r="E635" t="s">
        <v>63</v>
      </c>
      <c r="F635" t="s">
        <v>55</v>
      </c>
      <c r="G635">
        <v>5</v>
      </c>
      <c r="H635">
        <v>27000</v>
      </c>
      <c r="I635">
        <v>135000</v>
      </c>
    </row>
    <row r="636" spans="1:9" x14ac:dyDescent="0.35">
      <c r="A636" t="s">
        <v>678</v>
      </c>
      <c r="B636" s="1">
        <v>46188</v>
      </c>
      <c r="C636" t="s">
        <v>34</v>
      </c>
      <c r="D636" t="s">
        <v>11</v>
      </c>
      <c r="E636" t="s">
        <v>32</v>
      </c>
      <c r="F636" t="s">
        <v>13</v>
      </c>
      <c r="G636">
        <v>1</v>
      </c>
      <c r="H636">
        <v>4600</v>
      </c>
      <c r="I636">
        <v>4600</v>
      </c>
    </row>
    <row r="637" spans="1:9" x14ac:dyDescent="0.35">
      <c r="A637" t="s">
        <v>679</v>
      </c>
      <c r="B637" s="1">
        <v>46143</v>
      </c>
      <c r="C637" t="s">
        <v>44</v>
      </c>
      <c r="D637" t="s">
        <v>25</v>
      </c>
      <c r="E637" t="s">
        <v>32</v>
      </c>
      <c r="F637" t="s">
        <v>13</v>
      </c>
      <c r="G637">
        <v>1</v>
      </c>
      <c r="H637">
        <v>4200</v>
      </c>
      <c r="I637">
        <v>4200</v>
      </c>
    </row>
    <row r="638" spans="1:9" x14ac:dyDescent="0.35">
      <c r="A638" t="s">
        <v>680</v>
      </c>
      <c r="B638" s="1">
        <v>46169</v>
      </c>
      <c r="C638" t="s">
        <v>20</v>
      </c>
      <c r="D638" t="s">
        <v>36</v>
      </c>
      <c r="E638" t="s">
        <v>17</v>
      </c>
      <c r="F638" t="s">
        <v>18</v>
      </c>
      <c r="G638">
        <v>8</v>
      </c>
      <c r="H638">
        <v>34400</v>
      </c>
      <c r="I638">
        <v>275200</v>
      </c>
    </row>
    <row r="639" spans="1:9" x14ac:dyDescent="0.35">
      <c r="A639" t="s">
        <v>681</v>
      </c>
      <c r="B639" s="1">
        <v>46152</v>
      </c>
      <c r="C639" t="s">
        <v>51</v>
      </c>
      <c r="D639" t="s">
        <v>11</v>
      </c>
      <c r="E639" t="s">
        <v>40</v>
      </c>
      <c r="F639" t="s">
        <v>13</v>
      </c>
      <c r="G639">
        <v>6</v>
      </c>
      <c r="H639">
        <v>7100</v>
      </c>
      <c r="I639">
        <v>42600</v>
      </c>
    </row>
    <row r="640" spans="1:9" x14ac:dyDescent="0.35">
      <c r="A640" t="s">
        <v>682</v>
      </c>
      <c r="B640" s="1">
        <v>46193</v>
      </c>
      <c r="D640" t="s">
        <v>11</v>
      </c>
      <c r="E640" t="s">
        <v>21</v>
      </c>
      <c r="F640" t="s">
        <v>22</v>
      </c>
      <c r="G640">
        <v>2</v>
      </c>
      <c r="H640">
        <v>27300</v>
      </c>
      <c r="I640">
        <v>54600</v>
      </c>
    </row>
    <row r="641" spans="1:9" x14ac:dyDescent="0.35">
      <c r="A641" t="s">
        <v>683</v>
      </c>
      <c r="B641" s="1">
        <v>46168</v>
      </c>
      <c r="C641" t="s">
        <v>29</v>
      </c>
      <c r="D641" t="s">
        <v>36</v>
      </c>
      <c r="E641" t="s">
        <v>12</v>
      </c>
      <c r="F641" t="s">
        <v>13</v>
      </c>
      <c r="G641">
        <v>1</v>
      </c>
      <c r="H641">
        <v>2300</v>
      </c>
      <c r="I641">
        <v>2300</v>
      </c>
    </row>
    <row r="642" spans="1:9" x14ac:dyDescent="0.35">
      <c r="A642" t="s">
        <v>684</v>
      </c>
      <c r="B642" s="1">
        <v>46114</v>
      </c>
      <c r="C642" t="s">
        <v>46</v>
      </c>
      <c r="D642" t="s">
        <v>11</v>
      </c>
      <c r="E642" t="s">
        <v>12</v>
      </c>
      <c r="F642" t="s">
        <v>13</v>
      </c>
      <c r="G642">
        <v>8</v>
      </c>
      <c r="H642">
        <v>2800</v>
      </c>
      <c r="I642">
        <v>22400</v>
      </c>
    </row>
    <row r="643" spans="1:9" x14ac:dyDescent="0.35">
      <c r="A643" t="s">
        <v>685</v>
      </c>
      <c r="B643" s="1">
        <v>46158</v>
      </c>
      <c r="C643" t="s">
        <v>44</v>
      </c>
      <c r="D643" t="s">
        <v>49</v>
      </c>
      <c r="E643" t="s">
        <v>54</v>
      </c>
      <c r="F643" t="s">
        <v>55</v>
      </c>
      <c r="G643">
        <v>7</v>
      </c>
      <c r="H643">
        <v>18800</v>
      </c>
      <c r="I643">
        <v>131600</v>
      </c>
    </row>
    <row r="644" spans="1:9" x14ac:dyDescent="0.35">
      <c r="A644" t="s">
        <v>686</v>
      </c>
      <c r="B644" s="1">
        <v>46099</v>
      </c>
      <c r="C644" t="s">
        <v>31</v>
      </c>
      <c r="D644" t="s">
        <v>11</v>
      </c>
      <c r="E644" t="s">
        <v>63</v>
      </c>
      <c r="F644" t="s">
        <v>55</v>
      </c>
      <c r="G644">
        <v>2</v>
      </c>
      <c r="H644">
        <v>30900</v>
      </c>
      <c r="I644">
        <v>61800</v>
      </c>
    </row>
    <row r="645" spans="1:9" x14ac:dyDescent="0.35">
      <c r="A645" t="s">
        <v>687</v>
      </c>
      <c r="B645" s="1">
        <v>46099</v>
      </c>
      <c r="C645" t="s">
        <v>10</v>
      </c>
      <c r="D645" t="s">
        <v>11</v>
      </c>
      <c r="E645" t="s">
        <v>40</v>
      </c>
      <c r="F645" t="s">
        <v>13</v>
      </c>
      <c r="G645">
        <v>4</v>
      </c>
      <c r="H645">
        <v>7400</v>
      </c>
      <c r="I645">
        <v>29600</v>
      </c>
    </row>
    <row r="646" spans="1:9" x14ac:dyDescent="0.35">
      <c r="A646" t="s">
        <v>688</v>
      </c>
      <c r="B646" s="1">
        <v>46191</v>
      </c>
      <c r="C646" t="s">
        <v>44</v>
      </c>
      <c r="D646" t="s">
        <v>49</v>
      </c>
      <c r="E646" t="s">
        <v>37</v>
      </c>
      <c r="F646" t="s">
        <v>18</v>
      </c>
      <c r="G646">
        <v>1</v>
      </c>
      <c r="H646">
        <v>56800</v>
      </c>
      <c r="I646">
        <v>56800</v>
      </c>
    </row>
    <row r="647" spans="1:9" x14ac:dyDescent="0.35">
      <c r="A647" t="s">
        <v>689</v>
      </c>
      <c r="B647" s="1">
        <v>46188</v>
      </c>
      <c r="C647" t="s">
        <v>29</v>
      </c>
      <c r="D647" t="s">
        <v>36</v>
      </c>
      <c r="E647" t="s">
        <v>61</v>
      </c>
      <c r="F647" t="s">
        <v>13</v>
      </c>
      <c r="G647">
        <v>1</v>
      </c>
      <c r="H647">
        <v>8400</v>
      </c>
      <c r="I647">
        <v>8400</v>
      </c>
    </row>
    <row r="648" spans="1:9" x14ac:dyDescent="0.35">
      <c r="A648" t="s">
        <v>690</v>
      </c>
      <c r="B648" s="1">
        <v>46136</v>
      </c>
      <c r="C648" t="s">
        <v>15</v>
      </c>
      <c r="D648" t="s">
        <v>25</v>
      </c>
      <c r="E648" t="s">
        <v>32</v>
      </c>
      <c r="F648" t="s">
        <v>13</v>
      </c>
      <c r="G648">
        <v>6</v>
      </c>
      <c r="H648">
        <v>4700</v>
      </c>
      <c r="I648">
        <v>28200</v>
      </c>
    </row>
    <row r="649" spans="1:9" x14ac:dyDescent="0.35">
      <c r="A649" t="s">
        <v>691</v>
      </c>
      <c r="B649" s="1">
        <v>46188</v>
      </c>
      <c r="C649" t="s">
        <v>31</v>
      </c>
      <c r="D649" t="s">
        <v>36</v>
      </c>
      <c r="E649" t="s">
        <v>12</v>
      </c>
      <c r="F649" t="s">
        <v>13</v>
      </c>
      <c r="G649">
        <v>5</v>
      </c>
      <c r="H649">
        <v>2400</v>
      </c>
      <c r="I649">
        <v>12000</v>
      </c>
    </row>
    <row r="650" spans="1:9" x14ac:dyDescent="0.35">
      <c r="A650" t="s">
        <v>692</v>
      </c>
      <c r="B650" s="1">
        <v>46200</v>
      </c>
      <c r="C650" t="s">
        <v>65</v>
      </c>
      <c r="D650" t="s">
        <v>16</v>
      </c>
      <c r="E650" t="s">
        <v>32</v>
      </c>
      <c r="F650" t="s">
        <v>13</v>
      </c>
      <c r="G650">
        <v>5</v>
      </c>
      <c r="H650">
        <v>4300</v>
      </c>
      <c r="I650">
        <v>21500</v>
      </c>
    </row>
    <row r="651" spans="1:9" x14ac:dyDescent="0.35">
      <c r="A651" t="s">
        <v>693</v>
      </c>
      <c r="B651" s="1">
        <v>46044</v>
      </c>
      <c r="C651" t="s">
        <v>29</v>
      </c>
      <c r="D651" t="s">
        <v>11</v>
      </c>
      <c r="E651" t="s">
        <v>21</v>
      </c>
      <c r="F651" t="s">
        <v>22</v>
      </c>
      <c r="G651">
        <v>3</v>
      </c>
      <c r="H651">
        <v>30200</v>
      </c>
      <c r="I651">
        <v>90600</v>
      </c>
    </row>
    <row r="652" spans="1:9" x14ac:dyDescent="0.35">
      <c r="A652" t="s">
        <v>694</v>
      </c>
      <c r="B652" s="1">
        <v>46128</v>
      </c>
      <c r="C652" t="s">
        <v>39</v>
      </c>
      <c r="D652" t="s">
        <v>74</v>
      </c>
      <c r="E652" t="s">
        <v>12</v>
      </c>
      <c r="F652" t="s">
        <v>13</v>
      </c>
      <c r="G652">
        <v>4</v>
      </c>
      <c r="H652">
        <v>2700</v>
      </c>
      <c r="I652">
        <v>10800</v>
      </c>
    </row>
    <row r="653" spans="1:9" x14ac:dyDescent="0.35">
      <c r="A653" t="s">
        <v>695</v>
      </c>
      <c r="B653" s="1">
        <v>46066</v>
      </c>
      <c r="C653" t="s">
        <v>39</v>
      </c>
      <c r="D653" t="s">
        <v>49</v>
      </c>
      <c r="E653" t="s">
        <v>26</v>
      </c>
      <c r="F653" t="s">
        <v>18</v>
      </c>
      <c r="G653">
        <v>3</v>
      </c>
      <c r="H653">
        <v>89200</v>
      </c>
      <c r="I653">
        <v>267600</v>
      </c>
    </row>
    <row r="654" spans="1:9" x14ac:dyDescent="0.35">
      <c r="A654" t="s">
        <v>696</v>
      </c>
      <c r="B654" s="1">
        <v>46079</v>
      </c>
      <c r="C654" t="s">
        <v>31</v>
      </c>
      <c r="D654" t="s">
        <v>49</v>
      </c>
      <c r="E654" t="s">
        <v>17</v>
      </c>
      <c r="F654" t="s">
        <v>18</v>
      </c>
      <c r="G654">
        <v>2</v>
      </c>
      <c r="H654">
        <v>37700</v>
      </c>
      <c r="I654">
        <v>75400</v>
      </c>
    </row>
    <row r="655" spans="1:9" x14ac:dyDescent="0.35">
      <c r="A655" t="s">
        <v>697</v>
      </c>
      <c r="B655" s="1">
        <v>46124</v>
      </c>
      <c r="C655" t="s">
        <v>31</v>
      </c>
      <c r="D655" t="s">
        <v>49</v>
      </c>
      <c r="E655" t="s">
        <v>37</v>
      </c>
      <c r="F655" t="s">
        <v>18</v>
      </c>
      <c r="G655">
        <v>6</v>
      </c>
      <c r="H655">
        <v>48200</v>
      </c>
      <c r="I655">
        <v>289200</v>
      </c>
    </row>
    <row r="656" spans="1:9" x14ac:dyDescent="0.35">
      <c r="A656" t="s">
        <v>698</v>
      </c>
      <c r="B656" s="1">
        <v>46074</v>
      </c>
      <c r="C656" t="s">
        <v>65</v>
      </c>
      <c r="D656" t="s">
        <v>11</v>
      </c>
      <c r="E656" t="s">
        <v>32</v>
      </c>
      <c r="F656" t="s">
        <v>13</v>
      </c>
      <c r="G656">
        <v>4</v>
      </c>
      <c r="H656">
        <v>4500</v>
      </c>
      <c r="I656">
        <v>18000</v>
      </c>
    </row>
    <row r="657" spans="1:9" x14ac:dyDescent="0.35">
      <c r="A657" t="s">
        <v>699</v>
      </c>
      <c r="B657" s="1">
        <v>46083</v>
      </c>
      <c r="C657" t="s">
        <v>10</v>
      </c>
      <c r="D657" t="s">
        <v>16</v>
      </c>
      <c r="E657" t="s">
        <v>40</v>
      </c>
      <c r="F657" t="s">
        <v>13</v>
      </c>
      <c r="G657">
        <v>3</v>
      </c>
      <c r="H657">
        <v>6600</v>
      </c>
      <c r="I657">
        <v>19800</v>
      </c>
    </row>
    <row r="658" spans="1:9" x14ac:dyDescent="0.35">
      <c r="A658" t="s">
        <v>700</v>
      </c>
      <c r="B658" s="1">
        <v>46025</v>
      </c>
      <c r="C658" t="s">
        <v>20</v>
      </c>
      <c r="D658" t="s">
        <v>25</v>
      </c>
      <c r="E658" t="s">
        <v>61</v>
      </c>
      <c r="F658" t="s">
        <v>13</v>
      </c>
      <c r="G658">
        <v>1</v>
      </c>
      <c r="H658">
        <v>8900</v>
      </c>
      <c r="I658">
        <v>8900</v>
      </c>
    </row>
    <row r="659" spans="1:9" x14ac:dyDescent="0.35">
      <c r="A659" t="s">
        <v>701</v>
      </c>
      <c r="B659" s="1">
        <v>46143</v>
      </c>
      <c r="C659" t="s">
        <v>31</v>
      </c>
      <c r="D659" t="s">
        <v>49</v>
      </c>
      <c r="E659" t="s">
        <v>21</v>
      </c>
      <c r="F659" t="s">
        <v>22</v>
      </c>
      <c r="G659">
        <v>2</v>
      </c>
      <c r="H659">
        <v>26400</v>
      </c>
      <c r="I659">
        <v>52800</v>
      </c>
    </row>
    <row r="660" spans="1:9" x14ac:dyDescent="0.35">
      <c r="A660" t="s">
        <v>702</v>
      </c>
      <c r="B660" s="1">
        <v>46203</v>
      </c>
      <c r="C660" t="s">
        <v>51</v>
      </c>
      <c r="D660" t="s">
        <v>11</v>
      </c>
      <c r="E660" t="s">
        <v>40</v>
      </c>
      <c r="F660" t="s">
        <v>13</v>
      </c>
      <c r="G660">
        <v>5</v>
      </c>
      <c r="H660">
        <v>6700</v>
      </c>
      <c r="I660">
        <v>33500</v>
      </c>
    </row>
    <row r="661" spans="1:9" x14ac:dyDescent="0.35">
      <c r="A661" t="s">
        <v>703</v>
      </c>
      <c r="B661" s="1">
        <v>46114</v>
      </c>
      <c r="C661" t="s">
        <v>65</v>
      </c>
      <c r="D661" t="s">
        <v>16</v>
      </c>
      <c r="E661" t="s">
        <v>21</v>
      </c>
      <c r="F661" t="s">
        <v>22</v>
      </c>
      <c r="G661">
        <v>7</v>
      </c>
      <c r="H661">
        <v>24800</v>
      </c>
      <c r="I661">
        <v>173600</v>
      </c>
    </row>
    <row r="662" spans="1:9" x14ac:dyDescent="0.35">
      <c r="A662" t="s">
        <v>704</v>
      </c>
      <c r="B662" s="1">
        <v>46060</v>
      </c>
      <c r="C662" t="s">
        <v>10</v>
      </c>
      <c r="D662" t="s">
        <v>36</v>
      </c>
      <c r="E662" t="s">
        <v>26</v>
      </c>
      <c r="F662" t="s">
        <v>18</v>
      </c>
      <c r="G662">
        <v>4</v>
      </c>
      <c r="H662">
        <v>96400</v>
      </c>
      <c r="I662">
        <v>385600</v>
      </c>
    </row>
    <row r="663" spans="1:9" x14ac:dyDescent="0.35">
      <c r="A663" t="s">
        <v>705</v>
      </c>
      <c r="B663" s="1">
        <v>46143</v>
      </c>
      <c r="C663" t="s">
        <v>65</v>
      </c>
      <c r="D663" t="s">
        <v>16</v>
      </c>
      <c r="E663" t="s">
        <v>40</v>
      </c>
      <c r="F663" t="s">
        <v>13</v>
      </c>
      <c r="G663">
        <v>7</v>
      </c>
      <c r="H663">
        <v>7200</v>
      </c>
      <c r="I663">
        <v>50400</v>
      </c>
    </row>
    <row r="664" spans="1:9" x14ac:dyDescent="0.35">
      <c r="A664" t="s">
        <v>706</v>
      </c>
      <c r="B664" s="1">
        <v>46067</v>
      </c>
      <c r="C664" t="s">
        <v>31</v>
      </c>
      <c r="D664" t="s">
        <v>49</v>
      </c>
      <c r="E664" t="s">
        <v>61</v>
      </c>
      <c r="F664" t="s">
        <v>13</v>
      </c>
      <c r="G664">
        <v>1</v>
      </c>
      <c r="H664">
        <v>7000</v>
      </c>
      <c r="I664">
        <v>7000</v>
      </c>
    </row>
    <row r="665" spans="1:9" x14ac:dyDescent="0.35">
      <c r="A665" t="s">
        <v>707</v>
      </c>
      <c r="B665" s="1">
        <v>46127</v>
      </c>
      <c r="C665" t="s">
        <v>39</v>
      </c>
      <c r="D665" t="s">
        <v>49</v>
      </c>
      <c r="E665" t="s">
        <v>61</v>
      </c>
      <c r="F665" t="s">
        <v>13</v>
      </c>
      <c r="G665">
        <v>2</v>
      </c>
      <c r="H665">
        <v>7900</v>
      </c>
      <c r="I665">
        <v>15800</v>
      </c>
    </row>
    <row r="666" spans="1:9" x14ac:dyDescent="0.35">
      <c r="A666" t="s">
        <v>708</v>
      </c>
      <c r="B666" s="1">
        <v>46045</v>
      </c>
      <c r="C666" t="s">
        <v>46</v>
      </c>
      <c r="D666" t="s">
        <v>74</v>
      </c>
      <c r="E666" t="s">
        <v>32</v>
      </c>
      <c r="F666" t="s">
        <v>13</v>
      </c>
      <c r="G666">
        <v>8</v>
      </c>
      <c r="H666">
        <v>4900</v>
      </c>
      <c r="I666">
        <v>39200</v>
      </c>
    </row>
    <row r="667" spans="1:9" x14ac:dyDescent="0.35">
      <c r="A667" t="s">
        <v>709</v>
      </c>
      <c r="B667" s="1">
        <v>46046</v>
      </c>
      <c r="C667" t="s">
        <v>24</v>
      </c>
      <c r="D667" t="s">
        <v>36</v>
      </c>
      <c r="E667" t="s">
        <v>17</v>
      </c>
      <c r="F667" t="s">
        <v>18</v>
      </c>
      <c r="G667">
        <v>8</v>
      </c>
      <c r="H667">
        <v>31300</v>
      </c>
      <c r="I667">
        <v>250400</v>
      </c>
    </row>
    <row r="668" spans="1:9" x14ac:dyDescent="0.35">
      <c r="A668" t="s">
        <v>710</v>
      </c>
      <c r="B668" s="1">
        <v>46169</v>
      </c>
      <c r="C668" t="s">
        <v>24</v>
      </c>
      <c r="D668" t="s">
        <v>49</v>
      </c>
      <c r="E668" t="s">
        <v>63</v>
      </c>
      <c r="F668" t="s">
        <v>55</v>
      </c>
      <c r="G668">
        <v>5</v>
      </c>
      <c r="H668">
        <v>29900</v>
      </c>
      <c r="I668">
        <v>149500</v>
      </c>
    </row>
    <row r="669" spans="1:9" x14ac:dyDescent="0.35">
      <c r="A669" t="s">
        <v>711</v>
      </c>
      <c r="B669" s="1">
        <v>46073</v>
      </c>
      <c r="C669" t="s">
        <v>29</v>
      </c>
      <c r="D669" t="s">
        <v>74</v>
      </c>
      <c r="E669" t="s">
        <v>40</v>
      </c>
      <c r="F669" t="s">
        <v>13</v>
      </c>
      <c r="G669">
        <v>7</v>
      </c>
      <c r="H669">
        <v>6300</v>
      </c>
      <c r="I669">
        <v>44100</v>
      </c>
    </row>
    <row r="670" spans="1:9" x14ac:dyDescent="0.35">
      <c r="A670" t="s">
        <v>712</v>
      </c>
      <c r="B670" s="1">
        <v>46113</v>
      </c>
      <c r="C670" t="s">
        <v>29</v>
      </c>
      <c r="D670" t="s">
        <v>74</v>
      </c>
      <c r="E670" t="s">
        <v>26</v>
      </c>
      <c r="F670" t="s">
        <v>18</v>
      </c>
      <c r="G670">
        <v>5</v>
      </c>
      <c r="H670">
        <v>87600</v>
      </c>
      <c r="I670">
        <v>438000</v>
      </c>
    </row>
    <row r="671" spans="1:9" x14ac:dyDescent="0.35">
      <c r="A671" t="s">
        <v>713</v>
      </c>
      <c r="B671" s="1">
        <v>46197</v>
      </c>
      <c r="C671" t="s">
        <v>39</v>
      </c>
      <c r="D671" t="s">
        <v>16</v>
      </c>
      <c r="E671" t="s">
        <v>63</v>
      </c>
      <c r="F671" t="s">
        <v>55</v>
      </c>
      <c r="G671">
        <v>4</v>
      </c>
      <c r="H671">
        <v>34100</v>
      </c>
      <c r="I671">
        <v>136400</v>
      </c>
    </row>
    <row r="672" spans="1:9" x14ac:dyDescent="0.35">
      <c r="A672" t="s">
        <v>714</v>
      </c>
      <c r="B672" s="1">
        <v>46106</v>
      </c>
      <c r="C672" t="s">
        <v>65</v>
      </c>
      <c r="D672" t="s">
        <v>16</v>
      </c>
      <c r="E672" t="s">
        <v>32</v>
      </c>
      <c r="F672" t="s">
        <v>13</v>
      </c>
      <c r="G672">
        <v>1</v>
      </c>
      <c r="H672">
        <v>4200</v>
      </c>
      <c r="I672">
        <v>4200</v>
      </c>
    </row>
    <row r="673" spans="1:9" x14ac:dyDescent="0.35">
      <c r="A673" t="s">
        <v>715</v>
      </c>
      <c r="B673" s="1">
        <v>46108</v>
      </c>
      <c r="C673" t="s">
        <v>10</v>
      </c>
      <c r="D673" t="s">
        <v>36</v>
      </c>
      <c r="E673" t="s">
        <v>54</v>
      </c>
      <c r="F673" t="s">
        <v>55</v>
      </c>
      <c r="G673">
        <v>4</v>
      </c>
      <c r="H673">
        <v>21900</v>
      </c>
      <c r="I673">
        <v>87600</v>
      </c>
    </row>
    <row r="674" spans="1:9" x14ac:dyDescent="0.35">
      <c r="A674" t="s">
        <v>716</v>
      </c>
      <c r="B674" s="1">
        <v>46195</v>
      </c>
      <c r="C674" t="s">
        <v>15</v>
      </c>
      <c r="D674" t="s">
        <v>74</v>
      </c>
      <c r="E674" t="s">
        <v>12</v>
      </c>
      <c r="F674" t="s">
        <v>13</v>
      </c>
      <c r="G674">
        <v>1</v>
      </c>
      <c r="H674">
        <v>2300</v>
      </c>
      <c r="I674">
        <v>2300</v>
      </c>
    </row>
    <row r="675" spans="1:9" x14ac:dyDescent="0.35">
      <c r="A675" t="s">
        <v>717</v>
      </c>
      <c r="B675" s="1">
        <v>46072</v>
      </c>
      <c r="C675" t="s">
        <v>10</v>
      </c>
      <c r="D675" t="s">
        <v>16</v>
      </c>
      <c r="E675" t="s">
        <v>21</v>
      </c>
      <c r="F675" t="s">
        <v>22</v>
      </c>
      <c r="G675">
        <v>4</v>
      </c>
      <c r="H675">
        <v>30300</v>
      </c>
      <c r="I675">
        <v>121200</v>
      </c>
    </row>
    <row r="676" spans="1:9" x14ac:dyDescent="0.35">
      <c r="A676" t="s">
        <v>718</v>
      </c>
      <c r="B676" s="1">
        <v>46188</v>
      </c>
      <c r="C676" t="s">
        <v>29</v>
      </c>
      <c r="D676" t="s">
        <v>74</v>
      </c>
      <c r="E676" t="s">
        <v>37</v>
      </c>
      <c r="F676" t="s">
        <v>18</v>
      </c>
      <c r="G676">
        <v>6</v>
      </c>
      <c r="H676">
        <v>58100</v>
      </c>
      <c r="I676">
        <v>348600</v>
      </c>
    </row>
    <row r="677" spans="1:9" x14ac:dyDescent="0.35">
      <c r="A677" t="s">
        <v>719</v>
      </c>
      <c r="B677" s="1">
        <v>46168</v>
      </c>
      <c r="C677" t="s">
        <v>31</v>
      </c>
      <c r="D677" t="s">
        <v>74</v>
      </c>
      <c r="E677" t="s">
        <v>12</v>
      </c>
      <c r="F677" t="s">
        <v>13</v>
      </c>
      <c r="G677">
        <v>2</v>
      </c>
      <c r="H677">
        <v>2300</v>
      </c>
      <c r="I677">
        <v>4600</v>
      </c>
    </row>
    <row r="678" spans="1:9" x14ac:dyDescent="0.35">
      <c r="A678" t="s">
        <v>720</v>
      </c>
      <c r="B678" s="1">
        <v>46126</v>
      </c>
      <c r="C678" t="s">
        <v>51</v>
      </c>
      <c r="D678" t="s">
        <v>11</v>
      </c>
      <c r="E678" t="s">
        <v>40</v>
      </c>
      <c r="F678" t="s">
        <v>13</v>
      </c>
      <c r="G678">
        <v>5</v>
      </c>
      <c r="H678">
        <v>7300</v>
      </c>
      <c r="I678">
        <v>36500</v>
      </c>
    </row>
    <row r="679" spans="1:9" x14ac:dyDescent="0.35">
      <c r="A679" t="s">
        <v>721</v>
      </c>
      <c r="B679" s="1">
        <v>46149</v>
      </c>
      <c r="C679" t="s">
        <v>39</v>
      </c>
      <c r="D679" t="s">
        <v>25</v>
      </c>
      <c r="E679" t="s">
        <v>63</v>
      </c>
      <c r="F679" t="s">
        <v>55</v>
      </c>
      <c r="G679">
        <v>7</v>
      </c>
      <c r="H679">
        <v>28500</v>
      </c>
      <c r="I679">
        <v>199500</v>
      </c>
    </row>
    <row r="680" spans="1:9" x14ac:dyDescent="0.35">
      <c r="A680" t="s">
        <v>722</v>
      </c>
      <c r="B680" s="1">
        <v>46085</v>
      </c>
      <c r="C680" t="s">
        <v>39</v>
      </c>
      <c r="D680" t="s">
        <v>49</v>
      </c>
      <c r="E680" t="s">
        <v>32</v>
      </c>
      <c r="F680" t="s">
        <v>13</v>
      </c>
      <c r="G680">
        <v>6</v>
      </c>
      <c r="H680">
        <v>5000</v>
      </c>
      <c r="I680">
        <v>30000</v>
      </c>
    </row>
    <row r="681" spans="1:9" x14ac:dyDescent="0.35">
      <c r="A681" t="s">
        <v>723</v>
      </c>
      <c r="B681" s="1">
        <v>46172</v>
      </c>
      <c r="C681" t="s">
        <v>51</v>
      </c>
      <c r="D681" t="s">
        <v>11</v>
      </c>
      <c r="E681" t="s">
        <v>61</v>
      </c>
      <c r="F681" t="s">
        <v>13</v>
      </c>
      <c r="G681">
        <v>5</v>
      </c>
      <c r="H681">
        <v>7200</v>
      </c>
      <c r="I681">
        <v>36000</v>
      </c>
    </row>
    <row r="682" spans="1:9" x14ac:dyDescent="0.35">
      <c r="A682" t="s">
        <v>724</v>
      </c>
      <c r="B682" s="1">
        <v>46160</v>
      </c>
      <c r="C682" t="s">
        <v>51</v>
      </c>
      <c r="D682" t="s">
        <v>74</v>
      </c>
      <c r="E682" t="s">
        <v>21</v>
      </c>
      <c r="F682" t="s">
        <v>22</v>
      </c>
      <c r="G682">
        <v>2</v>
      </c>
      <c r="H682">
        <v>25300</v>
      </c>
      <c r="I682">
        <v>50600</v>
      </c>
    </row>
    <row r="683" spans="1:9" x14ac:dyDescent="0.35">
      <c r="A683" t="s">
        <v>725</v>
      </c>
      <c r="B683" s="1">
        <v>46079</v>
      </c>
      <c r="C683" t="s">
        <v>65</v>
      </c>
      <c r="D683" t="s">
        <v>49</v>
      </c>
      <c r="E683" t="s">
        <v>32</v>
      </c>
      <c r="F683" t="s">
        <v>13</v>
      </c>
      <c r="G683">
        <v>5</v>
      </c>
      <c r="H683">
        <v>3800</v>
      </c>
      <c r="I683">
        <v>19000</v>
      </c>
    </row>
    <row r="684" spans="1:9" x14ac:dyDescent="0.35">
      <c r="A684" t="s">
        <v>726</v>
      </c>
      <c r="B684" s="1">
        <v>46085</v>
      </c>
      <c r="C684" t="s">
        <v>46</v>
      </c>
      <c r="D684" t="s">
        <v>74</v>
      </c>
      <c r="E684" t="s">
        <v>26</v>
      </c>
      <c r="F684" t="s">
        <v>18</v>
      </c>
      <c r="G684">
        <v>1</v>
      </c>
      <c r="H684">
        <v>92300</v>
      </c>
      <c r="I684">
        <v>92300</v>
      </c>
    </row>
    <row r="685" spans="1:9" x14ac:dyDescent="0.35">
      <c r="A685" t="s">
        <v>727</v>
      </c>
      <c r="B685" s="1">
        <v>46148</v>
      </c>
      <c r="C685" t="s">
        <v>15</v>
      </c>
      <c r="D685" t="s">
        <v>16</v>
      </c>
      <c r="E685" t="s">
        <v>17</v>
      </c>
      <c r="F685" t="s">
        <v>18</v>
      </c>
      <c r="G685">
        <v>1</v>
      </c>
      <c r="H685">
        <v>32300</v>
      </c>
      <c r="I685">
        <v>32300</v>
      </c>
    </row>
    <row r="686" spans="1:9" x14ac:dyDescent="0.35">
      <c r="A686" t="s">
        <v>728</v>
      </c>
      <c r="B686" s="1">
        <v>46166</v>
      </c>
      <c r="C686" t="s">
        <v>15</v>
      </c>
      <c r="D686" t="s">
        <v>49</v>
      </c>
      <c r="E686" t="s">
        <v>17</v>
      </c>
      <c r="F686" t="s">
        <v>18</v>
      </c>
      <c r="G686">
        <v>2</v>
      </c>
      <c r="H686">
        <v>35500</v>
      </c>
      <c r="I686">
        <v>71000</v>
      </c>
    </row>
    <row r="687" spans="1:9" x14ac:dyDescent="0.35">
      <c r="A687" t="s">
        <v>729</v>
      </c>
      <c r="B687" s="1">
        <v>46095</v>
      </c>
      <c r="C687" t="s">
        <v>31</v>
      </c>
      <c r="D687" t="s">
        <v>74</v>
      </c>
      <c r="E687" t="s">
        <v>17</v>
      </c>
      <c r="F687" t="s">
        <v>18</v>
      </c>
      <c r="G687">
        <v>7</v>
      </c>
      <c r="H687">
        <v>32400</v>
      </c>
      <c r="I687">
        <v>226800</v>
      </c>
    </row>
    <row r="688" spans="1:9" x14ac:dyDescent="0.35">
      <c r="A688" t="s">
        <v>730</v>
      </c>
      <c r="B688" s="1">
        <v>46081</v>
      </c>
      <c r="C688" t="s">
        <v>10</v>
      </c>
      <c r="D688" t="s">
        <v>36</v>
      </c>
      <c r="E688" t="s">
        <v>12</v>
      </c>
      <c r="F688" t="s">
        <v>13</v>
      </c>
      <c r="G688">
        <v>2</v>
      </c>
      <c r="H688">
        <v>2200</v>
      </c>
      <c r="I688">
        <v>4400</v>
      </c>
    </row>
    <row r="689" spans="1:9" x14ac:dyDescent="0.35">
      <c r="A689" t="s">
        <v>731</v>
      </c>
      <c r="B689" s="1">
        <v>46174</v>
      </c>
      <c r="C689" t="s">
        <v>46</v>
      </c>
      <c r="D689" t="s">
        <v>11</v>
      </c>
      <c r="E689" t="s">
        <v>61</v>
      </c>
      <c r="F689" t="s">
        <v>13</v>
      </c>
      <c r="G689">
        <v>8</v>
      </c>
      <c r="H689">
        <v>7900</v>
      </c>
      <c r="I689">
        <v>63200</v>
      </c>
    </row>
    <row r="690" spans="1:9" x14ac:dyDescent="0.35">
      <c r="A690" t="s">
        <v>732</v>
      </c>
      <c r="B690" s="1">
        <v>46113</v>
      </c>
      <c r="C690" t="s">
        <v>51</v>
      </c>
      <c r="D690" t="s">
        <v>16</v>
      </c>
      <c r="E690" t="s">
        <v>17</v>
      </c>
      <c r="F690" t="s">
        <v>18</v>
      </c>
      <c r="G690">
        <v>2</v>
      </c>
      <c r="H690">
        <v>36700</v>
      </c>
      <c r="I690">
        <v>73400</v>
      </c>
    </row>
    <row r="691" spans="1:9" x14ac:dyDescent="0.35">
      <c r="A691" t="s">
        <v>733</v>
      </c>
      <c r="B691" s="1">
        <v>46106</v>
      </c>
      <c r="C691" t="s">
        <v>31</v>
      </c>
      <c r="D691" t="s">
        <v>11</v>
      </c>
      <c r="E691" t="s">
        <v>21</v>
      </c>
      <c r="F691" t="s">
        <v>22</v>
      </c>
      <c r="G691">
        <v>7</v>
      </c>
      <c r="H691">
        <v>31900</v>
      </c>
      <c r="I691">
        <v>223300</v>
      </c>
    </row>
    <row r="692" spans="1:9" x14ac:dyDescent="0.35">
      <c r="A692" t="s">
        <v>734</v>
      </c>
      <c r="B692" s="1">
        <v>46136</v>
      </c>
      <c r="C692" t="s">
        <v>39</v>
      </c>
      <c r="D692" t="s">
        <v>49</v>
      </c>
      <c r="E692" t="s">
        <v>17</v>
      </c>
      <c r="F692" t="s">
        <v>18</v>
      </c>
      <c r="G692">
        <v>4</v>
      </c>
      <c r="H692">
        <v>31200</v>
      </c>
      <c r="I692">
        <v>124800</v>
      </c>
    </row>
    <row r="693" spans="1:9" x14ac:dyDescent="0.35">
      <c r="A693" t="s">
        <v>735</v>
      </c>
      <c r="B693" s="1">
        <v>46183</v>
      </c>
      <c r="C693" t="s">
        <v>39</v>
      </c>
      <c r="D693" t="s">
        <v>25</v>
      </c>
      <c r="E693" t="s">
        <v>63</v>
      </c>
      <c r="F693" t="s">
        <v>55</v>
      </c>
      <c r="G693">
        <v>6</v>
      </c>
      <c r="H693">
        <v>33300</v>
      </c>
      <c r="I693">
        <v>199800</v>
      </c>
    </row>
    <row r="694" spans="1:9" x14ac:dyDescent="0.35">
      <c r="A694" t="s">
        <v>736</v>
      </c>
      <c r="B694" s="1">
        <v>46069</v>
      </c>
      <c r="C694" t="s">
        <v>24</v>
      </c>
      <c r="D694" t="s">
        <v>49</v>
      </c>
      <c r="E694" t="s">
        <v>37</v>
      </c>
      <c r="F694" t="s">
        <v>18</v>
      </c>
      <c r="G694">
        <v>2</v>
      </c>
      <c r="H694">
        <v>53900</v>
      </c>
      <c r="I694">
        <v>107800</v>
      </c>
    </row>
    <row r="695" spans="1:9" x14ac:dyDescent="0.35">
      <c r="A695" t="s">
        <v>737</v>
      </c>
      <c r="B695" s="1">
        <v>46166</v>
      </c>
      <c r="C695" t="s">
        <v>51</v>
      </c>
      <c r="D695" t="s">
        <v>25</v>
      </c>
      <c r="E695" t="s">
        <v>54</v>
      </c>
      <c r="F695" t="s">
        <v>55</v>
      </c>
      <c r="G695">
        <v>4</v>
      </c>
      <c r="H695">
        <v>23600</v>
      </c>
      <c r="I695">
        <v>94400</v>
      </c>
    </row>
    <row r="696" spans="1:9" x14ac:dyDescent="0.35">
      <c r="A696" t="s">
        <v>738</v>
      </c>
      <c r="B696" s="1">
        <v>46038</v>
      </c>
      <c r="C696" t="s">
        <v>46</v>
      </c>
      <c r="D696" t="s">
        <v>11</v>
      </c>
      <c r="E696" t="s">
        <v>54</v>
      </c>
      <c r="F696" t="s">
        <v>55</v>
      </c>
      <c r="G696">
        <v>4</v>
      </c>
      <c r="H696">
        <v>21500</v>
      </c>
      <c r="I696">
        <v>86000</v>
      </c>
    </row>
    <row r="697" spans="1:9" x14ac:dyDescent="0.35">
      <c r="A697" t="s">
        <v>739</v>
      </c>
      <c r="B697" s="1">
        <v>46042</v>
      </c>
      <c r="C697" t="s">
        <v>24</v>
      </c>
      <c r="D697" t="s">
        <v>36</v>
      </c>
      <c r="E697" t="s">
        <v>32</v>
      </c>
      <c r="F697" t="s">
        <v>13</v>
      </c>
      <c r="G697">
        <v>7</v>
      </c>
      <c r="H697">
        <v>4000</v>
      </c>
      <c r="I697">
        <v>28000</v>
      </c>
    </row>
    <row r="698" spans="1:9" x14ac:dyDescent="0.35">
      <c r="A698" t="s">
        <v>740</v>
      </c>
      <c r="B698" s="1">
        <v>46114</v>
      </c>
      <c r="C698" t="s">
        <v>15</v>
      </c>
      <c r="D698" t="s">
        <v>36</v>
      </c>
      <c r="E698" t="s">
        <v>61</v>
      </c>
      <c r="F698" t="s">
        <v>13</v>
      </c>
      <c r="G698">
        <v>3</v>
      </c>
      <c r="H698">
        <v>8300</v>
      </c>
      <c r="I698">
        <v>24900</v>
      </c>
    </row>
    <row r="699" spans="1:9" x14ac:dyDescent="0.35">
      <c r="A699" t="s">
        <v>741</v>
      </c>
      <c r="B699" s="1">
        <v>46150</v>
      </c>
      <c r="C699" t="s">
        <v>44</v>
      </c>
      <c r="D699" t="s">
        <v>11</v>
      </c>
      <c r="E699" t="s">
        <v>61</v>
      </c>
      <c r="F699" t="s">
        <v>13</v>
      </c>
      <c r="G699">
        <v>8</v>
      </c>
      <c r="H699">
        <v>7600</v>
      </c>
      <c r="I699">
        <v>60800</v>
      </c>
    </row>
    <row r="700" spans="1:9" x14ac:dyDescent="0.35">
      <c r="A700" t="s">
        <v>742</v>
      </c>
      <c r="B700" s="1">
        <v>46188</v>
      </c>
      <c r="C700" t="s">
        <v>39</v>
      </c>
      <c r="D700" t="s">
        <v>36</v>
      </c>
      <c r="E700" t="s">
        <v>21</v>
      </c>
      <c r="F700" t="s">
        <v>22</v>
      </c>
      <c r="G700">
        <v>1</v>
      </c>
      <c r="H700">
        <v>30400</v>
      </c>
      <c r="I700">
        <v>30400</v>
      </c>
    </row>
    <row r="701" spans="1:9" x14ac:dyDescent="0.35">
      <c r="A701" t="s">
        <v>743</v>
      </c>
      <c r="B701" s="1">
        <v>46134</v>
      </c>
      <c r="C701" t="s">
        <v>34</v>
      </c>
      <c r="D701" t="s">
        <v>16</v>
      </c>
      <c r="E701" t="s">
        <v>32</v>
      </c>
      <c r="F701" t="s">
        <v>13</v>
      </c>
      <c r="G701">
        <v>3</v>
      </c>
      <c r="H701">
        <v>4800</v>
      </c>
      <c r="I701">
        <v>14400</v>
      </c>
    </row>
    <row r="702" spans="1:9" x14ac:dyDescent="0.35">
      <c r="A702" t="s">
        <v>744</v>
      </c>
      <c r="B702" s="1">
        <v>46033</v>
      </c>
      <c r="C702" t="s">
        <v>39</v>
      </c>
      <c r="D702" t="s">
        <v>49</v>
      </c>
      <c r="E702" t="s">
        <v>12</v>
      </c>
      <c r="F702" t="s">
        <v>13</v>
      </c>
      <c r="G702">
        <v>1</v>
      </c>
      <c r="H702">
        <v>2700</v>
      </c>
      <c r="I702">
        <v>2700</v>
      </c>
    </row>
    <row r="703" spans="1:9" x14ac:dyDescent="0.35">
      <c r="A703" t="s">
        <v>745</v>
      </c>
      <c r="B703" s="1">
        <v>46127</v>
      </c>
      <c r="C703" t="s">
        <v>46</v>
      </c>
      <c r="D703" t="s">
        <v>49</v>
      </c>
      <c r="E703" t="s">
        <v>37</v>
      </c>
      <c r="F703" t="s">
        <v>18</v>
      </c>
      <c r="G703">
        <v>6</v>
      </c>
      <c r="H703">
        <v>58200</v>
      </c>
      <c r="I703">
        <v>349200</v>
      </c>
    </row>
    <row r="704" spans="1:9" x14ac:dyDescent="0.35">
      <c r="A704" t="s">
        <v>746</v>
      </c>
      <c r="B704" s="1">
        <v>46067</v>
      </c>
      <c r="C704" t="s">
        <v>20</v>
      </c>
      <c r="D704" t="s">
        <v>74</v>
      </c>
      <c r="E704" t="s">
        <v>26</v>
      </c>
      <c r="F704" t="s">
        <v>18</v>
      </c>
      <c r="G704">
        <v>5</v>
      </c>
      <c r="H704">
        <v>86900</v>
      </c>
      <c r="I704">
        <v>434500</v>
      </c>
    </row>
    <row r="705" spans="1:9" x14ac:dyDescent="0.35">
      <c r="A705" t="s">
        <v>747</v>
      </c>
      <c r="B705" s="1">
        <v>46095</v>
      </c>
      <c r="C705" t="s">
        <v>20</v>
      </c>
      <c r="D705" t="s">
        <v>11</v>
      </c>
      <c r="E705" t="s">
        <v>40</v>
      </c>
      <c r="F705" t="s">
        <v>13</v>
      </c>
      <c r="G705">
        <v>4</v>
      </c>
      <c r="H705">
        <v>6000</v>
      </c>
      <c r="I705">
        <v>24000</v>
      </c>
    </row>
    <row r="706" spans="1:9" x14ac:dyDescent="0.35">
      <c r="A706" t="s">
        <v>748</v>
      </c>
      <c r="B706" s="1">
        <v>46131</v>
      </c>
      <c r="C706" t="s">
        <v>29</v>
      </c>
      <c r="D706" t="s">
        <v>11</v>
      </c>
      <c r="E706" t="s">
        <v>12</v>
      </c>
      <c r="F706" t="s">
        <v>13</v>
      </c>
      <c r="G706">
        <v>4</v>
      </c>
      <c r="H706">
        <v>2200</v>
      </c>
      <c r="I706">
        <v>8800</v>
      </c>
    </row>
    <row r="707" spans="1:9" x14ac:dyDescent="0.35">
      <c r="A707" t="s">
        <v>749</v>
      </c>
      <c r="B707" s="1">
        <v>46201</v>
      </c>
      <c r="C707" t="s">
        <v>24</v>
      </c>
      <c r="D707" t="s">
        <v>25</v>
      </c>
      <c r="E707" t="s">
        <v>54</v>
      </c>
      <c r="F707" t="s">
        <v>55</v>
      </c>
      <c r="G707">
        <v>8</v>
      </c>
      <c r="H707">
        <v>19600</v>
      </c>
      <c r="I707">
        <v>156800</v>
      </c>
    </row>
    <row r="708" spans="1:9" x14ac:dyDescent="0.35">
      <c r="A708" t="s">
        <v>750</v>
      </c>
      <c r="B708" s="1">
        <v>46153</v>
      </c>
      <c r="C708" t="s">
        <v>65</v>
      </c>
      <c r="D708" t="s">
        <v>25</v>
      </c>
      <c r="E708" t="s">
        <v>40</v>
      </c>
      <c r="F708" t="s">
        <v>13</v>
      </c>
      <c r="G708">
        <v>2</v>
      </c>
      <c r="H708">
        <v>6100</v>
      </c>
      <c r="I708">
        <v>12200</v>
      </c>
    </row>
    <row r="709" spans="1:9" x14ac:dyDescent="0.35">
      <c r="A709" t="s">
        <v>751</v>
      </c>
      <c r="B709" s="1">
        <v>46166</v>
      </c>
      <c r="C709" t="s">
        <v>24</v>
      </c>
      <c r="D709" t="s">
        <v>16</v>
      </c>
      <c r="E709" t="s">
        <v>54</v>
      </c>
      <c r="F709" t="s">
        <v>55</v>
      </c>
      <c r="G709">
        <v>8</v>
      </c>
      <c r="H709">
        <v>19900</v>
      </c>
      <c r="I709">
        <v>159200</v>
      </c>
    </row>
    <row r="710" spans="1:9" x14ac:dyDescent="0.35">
      <c r="A710" t="s">
        <v>752</v>
      </c>
      <c r="B710" s="1">
        <v>46034</v>
      </c>
      <c r="C710" t="s">
        <v>44</v>
      </c>
      <c r="D710" t="s">
        <v>36</v>
      </c>
      <c r="E710" t="s">
        <v>61</v>
      </c>
      <c r="F710" t="s">
        <v>13</v>
      </c>
      <c r="G710">
        <v>6</v>
      </c>
      <c r="H710">
        <v>7000</v>
      </c>
      <c r="I710">
        <v>42000</v>
      </c>
    </row>
    <row r="711" spans="1:9" x14ac:dyDescent="0.35">
      <c r="A711" t="s">
        <v>753</v>
      </c>
      <c r="B711" s="1">
        <v>46149</v>
      </c>
      <c r="C711" t="s">
        <v>20</v>
      </c>
      <c r="D711" t="s">
        <v>36</v>
      </c>
      <c r="E711" t="s">
        <v>37</v>
      </c>
      <c r="F711" t="s">
        <v>18</v>
      </c>
      <c r="G711">
        <v>5</v>
      </c>
      <c r="H711">
        <v>55000</v>
      </c>
      <c r="I711">
        <v>275000</v>
      </c>
    </row>
    <row r="712" spans="1:9" x14ac:dyDescent="0.35">
      <c r="A712" t="s">
        <v>754</v>
      </c>
      <c r="B712" s="1">
        <v>46142</v>
      </c>
      <c r="C712" t="s">
        <v>44</v>
      </c>
      <c r="D712" t="s">
        <v>49</v>
      </c>
      <c r="E712" t="s">
        <v>63</v>
      </c>
      <c r="F712" t="s">
        <v>55</v>
      </c>
      <c r="G712">
        <v>5</v>
      </c>
      <c r="H712">
        <v>29500</v>
      </c>
      <c r="I712">
        <v>147500</v>
      </c>
    </row>
    <row r="713" spans="1:9" x14ac:dyDescent="0.35">
      <c r="A713" t="s">
        <v>755</v>
      </c>
      <c r="B713" s="1">
        <v>46032</v>
      </c>
      <c r="C713" t="s">
        <v>24</v>
      </c>
      <c r="D713" t="s">
        <v>74</v>
      </c>
      <c r="E713" t="s">
        <v>26</v>
      </c>
      <c r="F713" t="s">
        <v>18</v>
      </c>
      <c r="G713">
        <v>2</v>
      </c>
      <c r="H713">
        <v>82500</v>
      </c>
      <c r="I713">
        <v>165000</v>
      </c>
    </row>
    <row r="714" spans="1:9" x14ac:dyDescent="0.35">
      <c r="A714" t="s">
        <v>756</v>
      </c>
      <c r="B714" s="1">
        <v>46202</v>
      </c>
      <c r="C714" t="s">
        <v>15</v>
      </c>
      <c r="D714" t="s">
        <v>49</v>
      </c>
      <c r="E714" t="s">
        <v>37</v>
      </c>
      <c r="F714" t="s">
        <v>18</v>
      </c>
      <c r="G714">
        <v>8</v>
      </c>
      <c r="H714">
        <v>55400</v>
      </c>
      <c r="I714">
        <v>443200</v>
      </c>
    </row>
    <row r="715" spans="1:9" x14ac:dyDescent="0.35">
      <c r="A715" t="s">
        <v>757</v>
      </c>
      <c r="B715" s="1">
        <v>46146</v>
      </c>
      <c r="C715" t="s">
        <v>51</v>
      </c>
      <c r="D715" t="s">
        <v>49</v>
      </c>
      <c r="E715" t="s">
        <v>37</v>
      </c>
      <c r="F715" t="s">
        <v>18</v>
      </c>
      <c r="G715">
        <v>4</v>
      </c>
      <c r="H715">
        <v>62200</v>
      </c>
      <c r="I715">
        <v>248800</v>
      </c>
    </row>
    <row r="716" spans="1:9" x14ac:dyDescent="0.35">
      <c r="A716" t="s">
        <v>758</v>
      </c>
      <c r="B716" s="1">
        <v>46112</v>
      </c>
      <c r="C716" t="s">
        <v>39</v>
      </c>
      <c r="D716" t="s">
        <v>25</v>
      </c>
      <c r="E716" t="s">
        <v>32</v>
      </c>
      <c r="F716" t="s">
        <v>13</v>
      </c>
      <c r="G716">
        <v>8</v>
      </c>
      <c r="H716">
        <v>4600</v>
      </c>
      <c r="I716">
        <v>36800</v>
      </c>
    </row>
    <row r="717" spans="1:9" x14ac:dyDescent="0.35">
      <c r="A717" t="s">
        <v>759</v>
      </c>
      <c r="B717" s="1">
        <v>46073</v>
      </c>
      <c r="C717" t="s">
        <v>15</v>
      </c>
      <c r="D717" t="s">
        <v>74</v>
      </c>
      <c r="E717" t="s">
        <v>21</v>
      </c>
      <c r="F717" t="s">
        <v>22</v>
      </c>
      <c r="G717">
        <v>6</v>
      </c>
      <c r="H717">
        <v>30100</v>
      </c>
      <c r="I717">
        <v>180600</v>
      </c>
    </row>
    <row r="718" spans="1:9" x14ac:dyDescent="0.35">
      <c r="A718" t="s">
        <v>760</v>
      </c>
      <c r="B718" s="1">
        <v>46066</v>
      </c>
      <c r="C718" t="s">
        <v>46</v>
      </c>
      <c r="D718" t="s">
        <v>49</v>
      </c>
      <c r="E718" t="s">
        <v>54</v>
      </c>
      <c r="F718" t="s">
        <v>55</v>
      </c>
      <c r="G718">
        <v>3</v>
      </c>
      <c r="H718">
        <v>23200</v>
      </c>
      <c r="I718">
        <v>69600</v>
      </c>
    </row>
    <row r="719" spans="1:9" x14ac:dyDescent="0.35">
      <c r="A719" t="s">
        <v>761</v>
      </c>
      <c r="B719" s="1">
        <v>46105</v>
      </c>
      <c r="C719" t="s">
        <v>44</v>
      </c>
      <c r="D719" t="s">
        <v>25</v>
      </c>
      <c r="E719" t="s">
        <v>32</v>
      </c>
      <c r="F719" t="s">
        <v>13</v>
      </c>
      <c r="G719">
        <v>5</v>
      </c>
      <c r="H719">
        <v>4000</v>
      </c>
      <c r="I719">
        <v>20000</v>
      </c>
    </row>
    <row r="720" spans="1:9" x14ac:dyDescent="0.35">
      <c r="A720" t="s">
        <v>762</v>
      </c>
      <c r="B720" s="1">
        <v>46191</v>
      </c>
      <c r="C720" t="s">
        <v>51</v>
      </c>
      <c r="D720" t="s">
        <v>49</v>
      </c>
      <c r="E720" t="s">
        <v>40</v>
      </c>
      <c r="F720" t="s">
        <v>13</v>
      </c>
      <c r="G720">
        <v>5</v>
      </c>
      <c r="H720">
        <v>5600</v>
      </c>
      <c r="I720">
        <v>28000</v>
      </c>
    </row>
    <row r="721" spans="1:9" x14ac:dyDescent="0.35">
      <c r="A721" t="s">
        <v>763</v>
      </c>
      <c r="B721" s="1">
        <v>46046</v>
      </c>
      <c r="C721" t="s">
        <v>10</v>
      </c>
      <c r="D721" t="s">
        <v>25</v>
      </c>
      <c r="E721" t="s">
        <v>61</v>
      </c>
      <c r="F721" t="s">
        <v>13</v>
      </c>
      <c r="G721">
        <v>8</v>
      </c>
      <c r="H721">
        <v>8700</v>
      </c>
      <c r="I721">
        <v>69600</v>
      </c>
    </row>
    <row r="722" spans="1:9" x14ac:dyDescent="0.35">
      <c r="A722" t="s">
        <v>764</v>
      </c>
      <c r="B722" s="1">
        <v>46142</v>
      </c>
      <c r="C722" t="s">
        <v>24</v>
      </c>
      <c r="D722" t="s">
        <v>49</v>
      </c>
      <c r="E722" t="s">
        <v>21</v>
      </c>
      <c r="F722" t="s">
        <v>22</v>
      </c>
      <c r="G722">
        <v>6</v>
      </c>
      <c r="H722">
        <v>31100</v>
      </c>
      <c r="I722">
        <v>186600</v>
      </c>
    </row>
    <row r="723" spans="1:9" x14ac:dyDescent="0.35">
      <c r="A723" t="s">
        <v>765</v>
      </c>
      <c r="B723" s="1">
        <v>46157</v>
      </c>
      <c r="C723" t="s">
        <v>39</v>
      </c>
      <c r="D723" t="s">
        <v>36</v>
      </c>
      <c r="E723" t="s">
        <v>32</v>
      </c>
      <c r="F723" t="s">
        <v>13</v>
      </c>
      <c r="G723">
        <v>3</v>
      </c>
      <c r="H723">
        <v>4900</v>
      </c>
      <c r="I723">
        <v>14700</v>
      </c>
    </row>
    <row r="724" spans="1:9" x14ac:dyDescent="0.35">
      <c r="A724" t="s">
        <v>766</v>
      </c>
      <c r="B724" s="1">
        <v>46183</v>
      </c>
      <c r="C724" t="s">
        <v>15</v>
      </c>
      <c r="D724" t="s">
        <v>11</v>
      </c>
      <c r="E724" t="s">
        <v>12</v>
      </c>
      <c r="F724" t="s">
        <v>13</v>
      </c>
      <c r="G724">
        <v>5</v>
      </c>
      <c r="H724">
        <v>2700</v>
      </c>
      <c r="I724">
        <v>13500</v>
      </c>
    </row>
    <row r="725" spans="1:9" x14ac:dyDescent="0.35">
      <c r="A725" t="s">
        <v>767</v>
      </c>
      <c r="B725" s="1">
        <v>46169</v>
      </c>
      <c r="C725" t="s">
        <v>44</v>
      </c>
      <c r="D725" t="s">
        <v>36</v>
      </c>
      <c r="E725" t="s">
        <v>32</v>
      </c>
      <c r="F725" t="s">
        <v>13</v>
      </c>
      <c r="G725">
        <v>6</v>
      </c>
      <c r="H725">
        <v>3900</v>
      </c>
      <c r="I725">
        <v>23400</v>
      </c>
    </row>
    <row r="726" spans="1:9" x14ac:dyDescent="0.35">
      <c r="A726" t="s">
        <v>768</v>
      </c>
      <c r="B726" s="1">
        <v>46166</v>
      </c>
      <c r="C726" t="s">
        <v>39</v>
      </c>
      <c r="D726" t="s">
        <v>74</v>
      </c>
      <c r="E726" t="s">
        <v>12</v>
      </c>
      <c r="F726" t="s">
        <v>13</v>
      </c>
      <c r="G726">
        <v>8</v>
      </c>
      <c r="H726">
        <v>2100</v>
      </c>
      <c r="I726">
        <v>16800</v>
      </c>
    </row>
    <row r="727" spans="1:9" x14ac:dyDescent="0.35">
      <c r="A727" t="s">
        <v>769</v>
      </c>
      <c r="B727" s="1">
        <v>46109</v>
      </c>
      <c r="C727" t="s">
        <v>10</v>
      </c>
      <c r="D727" t="s">
        <v>49</v>
      </c>
      <c r="E727" t="s">
        <v>21</v>
      </c>
      <c r="F727" t="s">
        <v>22</v>
      </c>
      <c r="G727">
        <v>7</v>
      </c>
      <c r="H727">
        <v>28700</v>
      </c>
      <c r="I727">
        <v>200900</v>
      </c>
    </row>
    <row r="728" spans="1:9" x14ac:dyDescent="0.35">
      <c r="A728" t="s">
        <v>770</v>
      </c>
      <c r="B728" s="1">
        <v>46046</v>
      </c>
      <c r="C728" t="s">
        <v>65</v>
      </c>
      <c r="D728" t="s">
        <v>16</v>
      </c>
      <c r="E728" t="s">
        <v>54</v>
      </c>
      <c r="F728" t="s">
        <v>55</v>
      </c>
      <c r="G728">
        <v>3</v>
      </c>
      <c r="H728">
        <v>24200</v>
      </c>
      <c r="I728">
        <v>72600</v>
      </c>
    </row>
    <row r="729" spans="1:9" x14ac:dyDescent="0.35">
      <c r="A729" t="s">
        <v>771</v>
      </c>
      <c r="B729" s="1">
        <v>46183</v>
      </c>
      <c r="C729" t="s">
        <v>29</v>
      </c>
      <c r="D729" t="s">
        <v>74</v>
      </c>
      <c r="E729" t="s">
        <v>21</v>
      </c>
      <c r="F729" t="s">
        <v>22</v>
      </c>
      <c r="G729">
        <v>4</v>
      </c>
      <c r="H729">
        <v>30000</v>
      </c>
      <c r="I729">
        <v>120000</v>
      </c>
    </row>
    <row r="730" spans="1:9" x14ac:dyDescent="0.35">
      <c r="A730" t="s">
        <v>772</v>
      </c>
      <c r="B730" s="1">
        <v>46057</v>
      </c>
      <c r="C730" t="s">
        <v>34</v>
      </c>
      <c r="D730" t="s">
        <v>11</v>
      </c>
      <c r="E730" t="s">
        <v>40</v>
      </c>
      <c r="F730" t="s">
        <v>13</v>
      </c>
      <c r="G730">
        <v>7</v>
      </c>
      <c r="H730">
        <v>5900</v>
      </c>
      <c r="I730">
        <v>41300</v>
      </c>
    </row>
    <row r="731" spans="1:9" x14ac:dyDescent="0.35">
      <c r="A731" t="s">
        <v>773</v>
      </c>
      <c r="B731" s="1">
        <v>46084</v>
      </c>
      <c r="C731" t="s">
        <v>44</v>
      </c>
      <c r="D731" t="s">
        <v>16</v>
      </c>
      <c r="E731" t="s">
        <v>12</v>
      </c>
      <c r="F731" t="s">
        <v>13</v>
      </c>
      <c r="G731">
        <v>7</v>
      </c>
      <c r="H731">
        <v>2500</v>
      </c>
      <c r="I731">
        <v>17500</v>
      </c>
    </row>
    <row r="732" spans="1:9" x14ac:dyDescent="0.35">
      <c r="A732" t="s">
        <v>774</v>
      </c>
      <c r="B732" s="1">
        <v>46173</v>
      </c>
      <c r="C732" t="s">
        <v>10</v>
      </c>
      <c r="D732" t="s">
        <v>11</v>
      </c>
      <c r="E732" t="s">
        <v>17</v>
      </c>
      <c r="F732" t="s">
        <v>18</v>
      </c>
      <c r="G732">
        <v>8</v>
      </c>
      <c r="H732">
        <v>39700</v>
      </c>
      <c r="I732">
        <v>317600</v>
      </c>
    </row>
    <row r="733" spans="1:9" x14ac:dyDescent="0.35">
      <c r="A733" t="s">
        <v>775</v>
      </c>
      <c r="B733" s="1">
        <v>46190</v>
      </c>
      <c r="C733" t="s">
        <v>29</v>
      </c>
      <c r="D733" t="s">
        <v>16</v>
      </c>
      <c r="E733" t="s">
        <v>63</v>
      </c>
      <c r="F733" t="s">
        <v>55</v>
      </c>
      <c r="G733">
        <v>3</v>
      </c>
      <c r="H733">
        <v>33500</v>
      </c>
      <c r="I733">
        <v>100500</v>
      </c>
    </row>
    <row r="734" spans="1:9" x14ac:dyDescent="0.35">
      <c r="A734" t="s">
        <v>776</v>
      </c>
      <c r="B734" s="1">
        <v>46201</v>
      </c>
      <c r="C734" t="s">
        <v>34</v>
      </c>
      <c r="D734" t="s">
        <v>16</v>
      </c>
      <c r="E734" t="s">
        <v>54</v>
      </c>
      <c r="F734" t="s">
        <v>55</v>
      </c>
      <c r="G734">
        <v>5</v>
      </c>
      <c r="H734">
        <v>18800</v>
      </c>
      <c r="I734">
        <v>94000</v>
      </c>
    </row>
    <row r="735" spans="1:9" x14ac:dyDescent="0.35">
      <c r="A735" t="s">
        <v>777</v>
      </c>
      <c r="B735" s="1">
        <v>46115</v>
      </c>
      <c r="C735" t="s">
        <v>29</v>
      </c>
      <c r="D735" t="s">
        <v>16</v>
      </c>
      <c r="E735" t="s">
        <v>32</v>
      </c>
      <c r="F735" t="s">
        <v>13</v>
      </c>
      <c r="G735">
        <v>8</v>
      </c>
      <c r="H735">
        <v>4900</v>
      </c>
      <c r="I735">
        <v>39200</v>
      </c>
    </row>
    <row r="736" spans="1:9" x14ac:dyDescent="0.35">
      <c r="A736" t="s">
        <v>778</v>
      </c>
      <c r="B736" s="1">
        <v>46144</v>
      </c>
      <c r="C736" t="s">
        <v>65</v>
      </c>
      <c r="D736" t="s">
        <v>25</v>
      </c>
      <c r="E736" t="s">
        <v>37</v>
      </c>
      <c r="F736" t="s">
        <v>18</v>
      </c>
      <c r="G736">
        <v>3</v>
      </c>
      <c r="H736">
        <v>59200</v>
      </c>
      <c r="I736">
        <v>177600</v>
      </c>
    </row>
    <row r="737" spans="1:9" x14ac:dyDescent="0.35">
      <c r="A737" t="s">
        <v>779</v>
      </c>
      <c r="B737" s="1">
        <v>46090</v>
      </c>
      <c r="C737" t="s">
        <v>65</v>
      </c>
      <c r="D737" t="s">
        <v>49</v>
      </c>
      <c r="E737" t="s">
        <v>54</v>
      </c>
      <c r="F737" t="s">
        <v>55</v>
      </c>
      <c r="G737">
        <v>1</v>
      </c>
      <c r="H737">
        <v>23300</v>
      </c>
      <c r="I737">
        <v>23300</v>
      </c>
    </row>
    <row r="738" spans="1:9" x14ac:dyDescent="0.35">
      <c r="A738" t="s">
        <v>780</v>
      </c>
      <c r="B738" s="1">
        <v>46112</v>
      </c>
      <c r="C738" t="s">
        <v>34</v>
      </c>
      <c r="D738" t="s">
        <v>74</v>
      </c>
      <c r="E738" t="s">
        <v>21</v>
      </c>
      <c r="F738" t="s">
        <v>22</v>
      </c>
      <c r="G738">
        <v>1</v>
      </c>
      <c r="H738">
        <v>27300</v>
      </c>
      <c r="I738">
        <v>27300</v>
      </c>
    </row>
    <row r="739" spans="1:9" x14ac:dyDescent="0.35">
      <c r="A739" t="s">
        <v>781</v>
      </c>
      <c r="B739" s="1">
        <v>46060</v>
      </c>
      <c r="C739" t="s">
        <v>31</v>
      </c>
      <c r="D739" t="s">
        <v>49</v>
      </c>
      <c r="E739" t="s">
        <v>26</v>
      </c>
      <c r="F739" t="s">
        <v>18</v>
      </c>
      <c r="G739">
        <v>6</v>
      </c>
      <c r="H739">
        <v>74300</v>
      </c>
      <c r="I739">
        <v>445800</v>
      </c>
    </row>
    <row r="740" spans="1:9" x14ac:dyDescent="0.35">
      <c r="A740" t="s">
        <v>782</v>
      </c>
      <c r="B740" s="1">
        <v>46186</v>
      </c>
      <c r="C740" t="s">
        <v>10</v>
      </c>
      <c r="D740" t="s">
        <v>25</v>
      </c>
      <c r="E740" t="s">
        <v>26</v>
      </c>
      <c r="F740" t="s">
        <v>18</v>
      </c>
      <c r="G740">
        <v>2</v>
      </c>
      <c r="H740">
        <v>78700</v>
      </c>
      <c r="I740">
        <v>157400</v>
      </c>
    </row>
    <row r="741" spans="1:9" x14ac:dyDescent="0.35">
      <c r="A741" t="s">
        <v>783</v>
      </c>
      <c r="B741" s="1">
        <v>46066</v>
      </c>
      <c r="C741" t="s">
        <v>31</v>
      </c>
      <c r="D741" t="s">
        <v>36</v>
      </c>
      <c r="E741" t="s">
        <v>32</v>
      </c>
      <c r="F741" t="s">
        <v>13</v>
      </c>
      <c r="G741">
        <v>3</v>
      </c>
      <c r="H741">
        <v>4500</v>
      </c>
      <c r="I741">
        <v>13500</v>
      </c>
    </row>
    <row r="742" spans="1:9" x14ac:dyDescent="0.35">
      <c r="A742" t="s">
        <v>784</v>
      </c>
      <c r="B742" s="1">
        <v>46072</v>
      </c>
      <c r="C742" t="s">
        <v>10</v>
      </c>
      <c r="D742" t="s">
        <v>25</v>
      </c>
      <c r="E742" t="s">
        <v>54</v>
      </c>
      <c r="F742" t="s">
        <v>55</v>
      </c>
      <c r="G742">
        <v>5</v>
      </c>
      <c r="H742">
        <v>25200</v>
      </c>
      <c r="I742">
        <v>126000</v>
      </c>
    </row>
    <row r="743" spans="1:9" x14ac:dyDescent="0.35">
      <c r="A743" t="s">
        <v>785</v>
      </c>
      <c r="B743" s="1">
        <v>46083</v>
      </c>
      <c r="C743" t="s">
        <v>20</v>
      </c>
      <c r="D743" t="s">
        <v>49</v>
      </c>
      <c r="E743" t="s">
        <v>54</v>
      </c>
      <c r="F743" t="s">
        <v>55</v>
      </c>
      <c r="G743">
        <v>8</v>
      </c>
      <c r="H743">
        <v>22500</v>
      </c>
      <c r="I743">
        <v>180000</v>
      </c>
    </row>
    <row r="744" spans="1:9" x14ac:dyDescent="0.35">
      <c r="A744" t="s">
        <v>786</v>
      </c>
      <c r="B744" s="1">
        <v>46192</v>
      </c>
      <c r="C744" t="s">
        <v>24</v>
      </c>
      <c r="D744" t="s">
        <v>25</v>
      </c>
      <c r="E744" t="s">
        <v>37</v>
      </c>
      <c r="F744" t="s">
        <v>18</v>
      </c>
      <c r="G744">
        <v>2</v>
      </c>
      <c r="H744">
        <v>58000</v>
      </c>
      <c r="I744">
        <v>116000</v>
      </c>
    </row>
    <row r="745" spans="1:9" x14ac:dyDescent="0.35">
      <c r="A745" t="s">
        <v>787</v>
      </c>
      <c r="B745" s="1">
        <v>46191</v>
      </c>
      <c r="C745" t="s">
        <v>10</v>
      </c>
      <c r="D745" t="s">
        <v>11</v>
      </c>
      <c r="E745" t="s">
        <v>61</v>
      </c>
      <c r="F745" t="s">
        <v>13</v>
      </c>
      <c r="G745">
        <v>8</v>
      </c>
      <c r="H745">
        <v>7600</v>
      </c>
      <c r="I745">
        <v>60800</v>
      </c>
    </row>
    <row r="746" spans="1:9" x14ac:dyDescent="0.35">
      <c r="A746" t="s">
        <v>788</v>
      </c>
      <c r="B746" s="1">
        <v>46122</v>
      </c>
      <c r="C746" t="s">
        <v>34</v>
      </c>
      <c r="D746" t="s">
        <v>36</v>
      </c>
      <c r="E746" t="s">
        <v>37</v>
      </c>
      <c r="F746" t="s">
        <v>18</v>
      </c>
      <c r="G746">
        <v>7</v>
      </c>
      <c r="H746">
        <v>52000</v>
      </c>
      <c r="I746">
        <v>364000</v>
      </c>
    </row>
    <row r="747" spans="1:9" x14ac:dyDescent="0.35">
      <c r="A747" t="s">
        <v>789</v>
      </c>
      <c r="B747" s="1">
        <v>46146</v>
      </c>
      <c r="C747" t="s">
        <v>24</v>
      </c>
      <c r="D747" t="s">
        <v>25</v>
      </c>
      <c r="E747" t="s">
        <v>26</v>
      </c>
      <c r="F747" t="s">
        <v>18</v>
      </c>
      <c r="G747">
        <v>7</v>
      </c>
      <c r="H747">
        <v>93600</v>
      </c>
      <c r="I747">
        <v>655200</v>
      </c>
    </row>
    <row r="748" spans="1:9" x14ac:dyDescent="0.35">
      <c r="A748" t="s">
        <v>790</v>
      </c>
      <c r="B748" s="1">
        <v>46093</v>
      </c>
      <c r="C748" t="s">
        <v>15</v>
      </c>
      <c r="D748" t="s">
        <v>36</v>
      </c>
      <c r="E748" t="s">
        <v>37</v>
      </c>
      <c r="F748" t="s">
        <v>18</v>
      </c>
      <c r="G748">
        <v>6</v>
      </c>
      <c r="H748">
        <v>47000</v>
      </c>
      <c r="I748">
        <v>282000</v>
      </c>
    </row>
    <row r="749" spans="1:9" x14ac:dyDescent="0.35">
      <c r="A749" t="s">
        <v>791</v>
      </c>
      <c r="B749" s="1">
        <v>46202</v>
      </c>
      <c r="C749" t="s">
        <v>29</v>
      </c>
      <c r="D749" t="s">
        <v>11</v>
      </c>
      <c r="E749" t="s">
        <v>61</v>
      </c>
      <c r="F749" t="s">
        <v>13</v>
      </c>
      <c r="G749">
        <v>7</v>
      </c>
      <c r="H749">
        <v>7000</v>
      </c>
      <c r="I749">
        <v>49000</v>
      </c>
    </row>
    <row r="750" spans="1:9" x14ac:dyDescent="0.35">
      <c r="A750" t="s">
        <v>792</v>
      </c>
      <c r="B750" s="1">
        <v>46183</v>
      </c>
      <c r="C750" t="s">
        <v>46</v>
      </c>
      <c r="D750" t="s">
        <v>74</v>
      </c>
      <c r="E750" t="s">
        <v>37</v>
      </c>
      <c r="F750" t="s">
        <v>18</v>
      </c>
      <c r="G750">
        <v>4</v>
      </c>
      <c r="H750">
        <v>63200</v>
      </c>
      <c r="I750">
        <v>252800</v>
      </c>
    </row>
    <row r="751" spans="1:9" x14ac:dyDescent="0.35">
      <c r="A751" t="s">
        <v>793</v>
      </c>
      <c r="B751" s="1">
        <v>46045</v>
      </c>
      <c r="C751" t="s">
        <v>65</v>
      </c>
      <c r="D751" t="s">
        <v>25</v>
      </c>
      <c r="E751" t="s">
        <v>61</v>
      </c>
      <c r="F751" t="s">
        <v>13</v>
      </c>
      <c r="G751">
        <v>3</v>
      </c>
      <c r="H751">
        <v>7700</v>
      </c>
      <c r="I751">
        <v>23100</v>
      </c>
    </row>
    <row r="752" spans="1:9" x14ac:dyDescent="0.35">
      <c r="A752" t="s">
        <v>794</v>
      </c>
      <c r="B752" s="1">
        <v>46094</v>
      </c>
      <c r="C752" t="s">
        <v>24</v>
      </c>
      <c r="D752" t="s">
        <v>49</v>
      </c>
      <c r="E752" t="s">
        <v>17</v>
      </c>
      <c r="F752" t="s">
        <v>18</v>
      </c>
      <c r="G752">
        <v>7</v>
      </c>
      <c r="H752">
        <v>30200</v>
      </c>
      <c r="I752">
        <v>211400</v>
      </c>
    </row>
    <row r="753" spans="1:9" x14ac:dyDescent="0.35">
      <c r="A753" t="s">
        <v>795</v>
      </c>
      <c r="B753" s="1">
        <v>46107</v>
      </c>
      <c r="C753" t="s">
        <v>44</v>
      </c>
      <c r="D753" t="s">
        <v>36</v>
      </c>
      <c r="E753" t="s">
        <v>17</v>
      </c>
      <c r="F753" t="s">
        <v>18</v>
      </c>
      <c r="G753">
        <v>4</v>
      </c>
      <c r="H753">
        <v>34100</v>
      </c>
      <c r="I753">
        <v>136400</v>
      </c>
    </row>
    <row r="754" spans="1:9" x14ac:dyDescent="0.35">
      <c r="A754" t="s">
        <v>796</v>
      </c>
      <c r="B754" s="1">
        <v>46119</v>
      </c>
      <c r="C754" t="s">
        <v>39</v>
      </c>
      <c r="D754" t="s">
        <v>11</v>
      </c>
      <c r="E754" t="s">
        <v>61</v>
      </c>
      <c r="F754" t="s">
        <v>13</v>
      </c>
      <c r="G754">
        <v>4</v>
      </c>
      <c r="H754">
        <v>6900</v>
      </c>
      <c r="I754">
        <v>27600</v>
      </c>
    </row>
    <row r="755" spans="1:9" x14ac:dyDescent="0.35">
      <c r="A755" t="s">
        <v>797</v>
      </c>
      <c r="B755" s="1">
        <v>46133</v>
      </c>
      <c r="C755" t="s">
        <v>34</v>
      </c>
      <c r="D755" t="s">
        <v>25</v>
      </c>
      <c r="E755" t="s">
        <v>21</v>
      </c>
      <c r="F755" t="s">
        <v>22</v>
      </c>
      <c r="G755">
        <v>8</v>
      </c>
      <c r="H755">
        <v>29700</v>
      </c>
      <c r="I755">
        <v>237600</v>
      </c>
    </row>
    <row r="756" spans="1:9" x14ac:dyDescent="0.35">
      <c r="A756" t="s">
        <v>798</v>
      </c>
      <c r="B756" s="1">
        <v>46191</v>
      </c>
      <c r="C756" t="s">
        <v>24</v>
      </c>
      <c r="D756" t="s">
        <v>49</v>
      </c>
      <c r="E756" t="s">
        <v>61</v>
      </c>
      <c r="F756" t="s">
        <v>13</v>
      </c>
      <c r="G756">
        <v>1</v>
      </c>
      <c r="H756">
        <v>7300</v>
      </c>
      <c r="I756">
        <v>7300</v>
      </c>
    </row>
    <row r="757" spans="1:9" x14ac:dyDescent="0.35">
      <c r="A757" t="s">
        <v>799</v>
      </c>
      <c r="B757" s="1">
        <v>46124</v>
      </c>
      <c r="C757" t="s">
        <v>24</v>
      </c>
      <c r="D757" t="s">
        <v>36</v>
      </c>
      <c r="E757" t="s">
        <v>54</v>
      </c>
      <c r="F757" t="s">
        <v>55</v>
      </c>
      <c r="G757">
        <v>1</v>
      </c>
      <c r="H757">
        <v>18900</v>
      </c>
      <c r="I757">
        <v>18900</v>
      </c>
    </row>
    <row r="758" spans="1:9" x14ac:dyDescent="0.35">
      <c r="A758" t="s">
        <v>800</v>
      </c>
      <c r="B758" s="1">
        <v>46115</v>
      </c>
      <c r="C758" t="s">
        <v>44</v>
      </c>
      <c r="D758" t="s">
        <v>25</v>
      </c>
      <c r="E758" t="s">
        <v>63</v>
      </c>
      <c r="F758" t="s">
        <v>55</v>
      </c>
      <c r="G758">
        <v>1</v>
      </c>
      <c r="H758">
        <v>27900</v>
      </c>
      <c r="I758">
        <v>27900</v>
      </c>
    </row>
    <row r="759" spans="1:9" x14ac:dyDescent="0.35">
      <c r="A759" t="s">
        <v>801</v>
      </c>
      <c r="B759" s="1">
        <v>46038</v>
      </c>
      <c r="C759" t="s">
        <v>10</v>
      </c>
      <c r="D759" t="s">
        <v>25</v>
      </c>
      <c r="E759" t="s">
        <v>63</v>
      </c>
      <c r="F759" t="s">
        <v>55</v>
      </c>
      <c r="G759">
        <v>1</v>
      </c>
      <c r="H759">
        <v>27800</v>
      </c>
      <c r="I759">
        <v>27800</v>
      </c>
    </row>
    <row r="760" spans="1:9" x14ac:dyDescent="0.35">
      <c r="A760" t="s">
        <v>802</v>
      </c>
      <c r="B760" s="1">
        <v>46135</v>
      </c>
      <c r="C760" t="s">
        <v>24</v>
      </c>
      <c r="D760" t="s">
        <v>25</v>
      </c>
      <c r="E760" t="s">
        <v>54</v>
      </c>
      <c r="F760" t="s">
        <v>55</v>
      </c>
      <c r="G760">
        <v>1</v>
      </c>
      <c r="H760">
        <v>23700</v>
      </c>
      <c r="I760">
        <v>23700</v>
      </c>
    </row>
    <row r="761" spans="1:9" x14ac:dyDescent="0.35">
      <c r="A761" t="s">
        <v>803</v>
      </c>
      <c r="B761" s="1">
        <v>46131</v>
      </c>
      <c r="C761" t="s">
        <v>24</v>
      </c>
      <c r="D761" t="s">
        <v>49</v>
      </c>
      <c r="E761" t="s">
        <v>32</v>
      </c>
      <c r="F761" t="s">
        <v>13</v>
      </c>
      <c r="G761">
        <v>2</v>
      </c>
      <c r="H761">
        <v>4700</v>
      </c>
      <c r="I761">
        <v>9400</v>
      </c>
    </row>
    <row r="762" spans="1:9" x14ac:dyDescent="0.35">
      <c r="A762" t="s">
        <v>804</v>
      </c>
      <c r="B762" s="1">
        <v>46196</v>
      </c>
      <c r="C762" t="s">
        <v>34</v>
      </c>
      <c r="D762" t="s">
        <v>16</v>
      </c>
      <c r="E762" t="s">
        <v>54</v>
      </c>
      <c r="F762" t="s">
        <v>55</v>
      </c>
      <c r="G762">
        <v>1</v>
      </c>
      <c r="H762">
        <v>24600</v>
      </c>
      <c r="I762">
        <v>24600</v>
      </c>
    </row>
    <row r="763" spans="1:9" x14ac:dyDescent="0.35">
      <c r="A763" t="s">
        <v>805</v>
      </c>
      <c r="B763" s="1">
        <v>46085</v>
      </c>
      <c r="C763" t="s">
        <v>44</v>
      </c>
      <c r="D763" t="s">
        <v>25</v>
      </c>
      <c r="E763" t="s">
        <v>21</v>
      </c>
      <c r="F763" t="s">
        <v>22</v>
      </c>
      <c r="G763">
        <v>7</v>
      </c>
      <c r="H763">
        <v>27700</v>
      </c>
      <c r="I763">
        <v>193900</v>
      </c>
    </row>
    <row r="764" spans="1:9" x14ac:dyDescent="0.35">
      <c r="A764" t="s">
        <v>806</v>
      </c>
      <c r="B764" s="1">
        <v>46179</v>
      </c>
      <c r="C764" t="s">
        <v>51</v>
      </c>
      <c r="D764" t="s">
        <v>74</v>
      </c>
      <c r="E764" t="s">
        <v>54</v>
      </c>
      <c r="F764" t="s">
        <v>55</v>
      </c>
      <c r="G764">
        <v>6</v>
      </c>
      <c r="H764">
        <v>22600</v>
      </c>
      <c r="I764">
        <v>135600</v>
      </c>
    </row>
    <row r="765" spans="1:9" x14ac:dyDescent="0.35">
      <c r="A765" t="s">
        <v>807</v>
      </c>
      <c r="B765" s="1">
        <v>46100</v>
      </c>
      <c r="C765" t="s">
        <v>34</v>
      </c>
      <c r="D765" t="s">
        <v>74</v>
      </c>
      <c r="E765" t="s">
        <v>12</v>
      </c>
      <c r="F765" t="s">
        <v>13</v>
      </c>
      <c r="G765">
        <v>2</v>
      </c>
      <c r="H765">
        <v>2600</v>
      </c>
      <c r="I765">
        <v>5200</v>
      </c>
    </row>
    <row r="766" spans="1:9" x14ac:dyDescent="0.35">
      <c r="A766" t="s">
        <v>808</v>
      </c>
      <c r="B766" s="1">
        <v>46065</v>
      </c>
      <c r="C766" t="s">
        <v>51</v>
      </c>
      <c r="D766" t="s">
        <v>36</v>
      </c>
      <c r="E766" t="s">
        <v>61</v>
      </c>
      <c r="F766" t="s">
        <v>13</v>
      </c>
      <c r="G766">
        <v>6</v>
      </c>
      <c r="H766">
        <v>8600</v>
      </c>
      <c r="I766">
        <v>51600</v>
      </c>
    </row>
    <row r="767" spans="1:9" x14ac:dyDescent="0.35">
      <c r="A767" t="s">
        <v>809</v>
      </c>
      <c r="B767" s="1">
        <v>46030</v>
      </c>
      <c r="C767" t="s">
        <v>29</v>
      </c>
      <c r="D767" t="s">
        <v>11</v>
      </c>
      <c r="E767" t="s">
        <v>17</v>
      </c>
      <c r="F767" t="s">
        <v>18</v>
      </c>
      <c r="G767">
        <v>3</v>
      </c>
      <c r="H767">
        <v>37500</v>
      </c>
      <c r="I767">
        <v>112500</v>
      </c>
    </row>
    <row r="768" spans="1:9" x14ac:dyDescent="0.35">
      <c r="A768" t="s">
        <v>810</v>
      </c>
      <c r="B768" s="1">
        <v>46068</v>
      </c>
      <c r="C768" t="s">
        <v>51</v>
      </c>
      <c r="D768" t="s">
        <v>16</v>
      </c>
      <c r="E768" t="s">
        <v>32</v>
      </c>
      <c r="F768" t="s">
        <v>13</v>
      </c>
      <c r="G768">
        <v>8</v>
      </c>
      <c r="H768">
        <v>4900</v>
      </c>
      <c r="I768">
        <v>39200</v>
      </c>
    </row>
    <row r="769" spans="1:9" x14ac:dyDescent="0.35">
      <c r="A769" t="s">
        <v>811</v>
      </c>
      <c r="B769" s="1">
        <v>46105</v>
      </c>
      <c r="C769" t="s">
        <v>31</v>
      </c>
      <c r="D769" t="s">
        <v>36</v>
      </c>
      <c r="E769" t="s">
        <v>21</v>
      </c>
      <c r="F769" t="s">
        <v>22</v>
      </c>
      <c r="G769">
        <v>3</v>
      </c>
      <c r="H769">
        <v>31500</v>
      </c>
      <c r="I769">
        <v>94500</v>
      </c>
    </row>
    <row r="770" spans="1:9" x14ac:dyDescent="0.35">
      <c r="A770" t="s">
        <v>812</v>
      </c>
      <c r="B770" s="1">
        <v>46029</v>
      </c>
      <c r="C770" t="s">
        <v>34</v>
      </c>
      <c r="D770" t="s">
        <v>16</v>
      </c>
      <c r="E770" t="s">
        <v>37</v>
      </c>
      <c r="F770" t="s">
        <v>18</v>
      </c>
      <c r="G770">
        <v>6</v>
      </c>
      <c r="H770">
        <v>58000</v>
      </c>
      <c r="I770">
        <v>348000</v>
      </c>
    </row>
    <row r="771" spans="1:9" x14ac:dyDescent="0.35">
      <c r="A771" t="s">
        <v>813</v>
      </c>
      <c r="B771" s="1">
        <v>46144</v>
      </c>
      <c r="C771" t="s">
        <v>20</v>
      </c>
      <c r="D771" t="s">
        <v>11</v>
      </c>
      <c r="E771" t="s">
        <v>32</v>
      </c>
      <c r="F771" t="s">
        <v>13</v>
      </c>
      <c r="G771">
        <v>7</v>
      </c>
      <c r="H771">
        <v>4700</v>
      </c>
      <c r="I771">
        <v>32900</v>
      </c>
    </row>
    <row r="772" spans="1:9" x14ac:dyDescent="0.35">
      <c r="A772" t="s">
        <v>814</v>
      </c>
      <c r="B772" s="1">
        <v>46030</v>
      </c>
      <c r="C772" t="s">
        <v>24</v>
      </c>
      <c r="D772" t="s">
        <v>49</v>
      </c>
      <c r="E772" t="s">
        <v>26</v>
      </c>
      <c r="F772" t="s">
        <v>18</v>
      </c>
      <c r="G772">
        <v>5</v>
      </c>
      <c r="H772">
        <v>94700</v>
      </c>
      <c r="I772">
        <v>473500</v>
      </c>
    </row>
    <row r="773" spans="1:9" x14ac:dyDescent="0.35">
      <c r="A773" t="s">
        <v>815</v>
      </c>
      <c r="B773" s="1">
        <v>46155</v>
      </c>
      <c r="C773" t="s">
        <v>31</v>
      </c>
      <c r="D773" t="s">
        <v>11</v>
      </c>
      <c r="E773" t="s">
        <v>37</v>
      </c>
      <c r="F773" t="s">
        <v>18</v>
      </c>
      <c r="G773">
        <v>7</v>
      </c>
      <c r="H773">
        <v>56400</v>
      </c>
      <c r="I773">
        <v>394800</v>
      </c>
    </row>
    <row r="774" spans="1:9" x14ac:dyDescent="0.35">
      <c r="A774" t="s">
        <v>816</v>
      </c>
      <c r="B774" s="1">
        <v>46139</v>
      </c>
      <c r="C774" t="s">
        <v>39</v>
      </c>
      <c r="D774" t="s">
        <v>25</v>
      </c>
      <c r="E774" t="s">
        <v>54</v>
      </c>
      <c r="F774" t="s">
        <v>55</v>
      </c>
      <c r="G774">
        <v>4</v>
      </c>
      <c r="H774">
        <v>21200</v>
      </c>
      <c r="I774">
        <v>84800</v>
      </c>
    </row>
    <row r="775" spans="1:9" x14ac:dyDescent="0.35">
      <c r="A775" t="s">
        <v>817</v>
      </c>
      <c r="B775" s="1">
        <v>46116</v>
      </c>
      <c r="C775" t="s">
        <v>39</v>
      </c>
      <c r="D775" t="s">
        <v>16</v>
      </c>
      <c r="E775" t="s">
        <v>63</v>
      </c>
      <c r="F775" t="s">
        <v>55</v>
      </c>
      <c r="G775">
        <v>3</v>
      </c>
      <c r="H775">
        <v>30600</v>
      </c>
      <c r="I775">
        <v>91800</v>
      </c>
    </row>
    <row r="776" spans="1:9" x14ac:dyDescent="0.35">
      <c r="A776" t="s">
        <v>818</v>
      </c>
      <c r="B776" s="1">
        <v>46108</v>
      </c>
      <c r="C776" t="s">
        <v>34</v>
      </c>
      <c r="D776" t="s">
        <v>36</v>
      </c>
      <c r="E776" t="s">
        <v>54</v>
      </c>
      <c r="F776" t="s">
        <v>55</v>
      </c>
      <c r="G776">
        <v>3</v>
      </c>
      <c r="H776">
        <v>24900</v>
      </c>
      <c r="I776">
        <v>74700</v>
      </c>
    </row>
    <row r="777" spans="1:9" x14ac:dyDescent="0.35">
      <c r="A777" t="s">
        <v>819</v>
      </c>
      <c r="B777" s="1">
        <v>46063</v>
      </c>
      <c r="C777" t="s">
        <v>44</v>
      </c>
      <c r="D777" t="s">
        <v>11</v>
      </c>
      <c r="E777" t="s">
        <v>17</v>
      </c>
      <c r="F777" t="s">
        <v>18</v>
      </c>
      <c r="G777">
        <v>5</v>
      </c>
      <c r="H777">
        <v>39100</v>
      </c>
      <c r="I777">
        <v>195500</v>
      </c>
    </row>
    <row r="778" spans="1:9" x14ac:dyDescent="0.35">
      <c r="A778" t="s">
        <v>820</v>
      </c>
      <c r="B778" s="1">
        <v>46107</v>
      </c>
      <c r="C778" t="s">
        <v>44</v>
      </c>
      <c r="D778" t="s">
        <v>25</v>
      </c>
      <c r="E778" t="s">
        <v>63</v>
      </c>
      <c r="F778" t="s">
        <v>55</v>
      </c>
      <c r="G778">
        <v>7</v>
      </c>
      <c r="H778">
        <v>25800</v>
      </c>
      <c r="I778">
        <v>180600</v>
      </c>
    </row>
    <row r="779" spans="1:9" x14ac:dyDescent="0.35">
      <c r="A779" t="s">
        <v>821</v>
      </c>
      <c r="B779" s="1">
        <v>46170</v>
      </c>
      <c r="C779" t="s">
        <v>39</v>
      </c>
      <c r="D779" t="s">
        <v>74</v>
      </c>
      <c r="E779" t="s">
        <v>32</v>
      </c>
      <c r="F779" t="s">
        <v>13</v>
      </c>
      <c r="G779">
        <v>5</v>
      </c>
      <c r="H779">
        <v>4100</v>
      </c>
      <c r="I779">
        <v>20500</v>
      </c>
    </row>
    <row r="780" spans="1:9" x14ac:dyDescent="0.35">
      <c r="A780" t="s">
        <v>822</v>
      </c>
      <c r="B780" s="1">
        <v>46183</v>
      </c>
      <c r="C780" t="s">
        <v>65</v>
      </c>
      <c r="D780" t="s">
        <v>74</v>
      </c>
      <c r="E780" t="s">
        <v>12</v>
      </c>
      <c r="F780" t="s">
        <v>13</v>
      </c>
      <c r="G780">
        <v>5</v>
      </c>
      <c r="H780">
        <v>2200</v>
      </c>
      <c r="I780">
        <v>11000</v>
      </c>
    </row>
    <row r="781" spans="1:9" x14ac:dyDescent="0.35">
      <c r="A781" t="s">
        <v>823</v>
      </c>
      <c r="B781" s="1">
        <v>46139</v>
      </c>
      <c r="C781" t="s">
        <v>10</v>
      </c>
      <c r="D781" t="s">
        <v>16</v>
      </c>
      <c r="E781" t="s">
        <v>32</v>
      </c>
      <c r="F781" t="s">
        <v>13</v>
      </c>
      <c r="G781">
        <v>2</v>
      </c>
      <c r="H781">
        <v>4400</v>
      </c>
      <c r="I781">
        <v>8800</v>
      </c>
    </row>
    <row r="782" spans="1:9" x14ac:dyDescent="0.35">
      <c r="A782" t="s">
        <v>824</v>
      </c>
      <c r="B782" s="1">
        <v>46135</v>
      </c>
      <c r="C782" t="s">
        <v>39</v>
      </c>
      <c r="D782" t="s">
        <v>16</v>
      </c>
      <c r="E782" t="s">
        <v>63</v>
      </c>
      <c r="F782" t="s">
        <v>55</v>
      </c>
      <c r="G782">
        <v>2</v>
      </c>
      <c r="H782">
        <v>27200</v>
      </c>
      <c r="I782">
        <v>54400</v>
      </c>
    </row>
    <row r="783" spans="1:9" x14ac:dyDescent="0.35">
      <c r="A783" t="s">
        <v>825</v>
      </c>
      <c r="B783" s="1">
        <v>46144</v>
      </c>
      <c r="C783" t="s">
        <v>24</v>
      </c>
      <c r="D783" t="s">
        <v>25</v>
      </c>
      <c r="E783" t="s">
        <v>61</v>
      </c>
      <c r="F783" t="s">
        <v>13</v>
      </c>
      <c r="G783">
        <v>4</v>
      </c>
      <c r="H783">
        <v>7600</v>
      </c>
      <c r="I783">
        <v>30400</v>
      </c>
    </row>
    <row r="784" spans="1:9" x14ac:dyDescent="0.35">
      <c r="A784" t="s">
        <v>826</v>
      </c>
      <c r="B784" s="1">
        <v>46131</v>
      </c>
      <c r="C784" t="s">
        <v>31</v>
      </c>
      <c r="D784" t="s">
        <v>74</v>
      </c>
      <c r="E784" t="s">
        <v>37</v>
      </c>
      <c r="F784" t="s">
        <v>18</v>
      </c>
      <c r="G784">
        <v>5</v>
      </c>
      <c r="H784">
        <v>61200</v>
      </c>
      <c r="I784">
        <v>306000</v>
      </c>
    </row>
    <row r="785" spans="1:9" x14ac:dyDescent="0.35">
      <c r="A785" t="s">
        <v>827</v>
      </c>
      <c r="B785" s="1">
        <v>46035</v>
      </c>
      <c r="C785" t="s">
        <v>51</v>
      </c>
      <c r="D785" t="s">
        <v>74</v>
      </c>
      <c r="E785" t="s">
        <v>40</v>
      </c>
      <c r="F785" t="s">
        <v>13</v>
      </c>
      <c r="G785">
        <v>5</v>
      </c>
      <c r="H785">
        <v>6000</v>
      </c>
      <c r="I785">
        <v>30000</v>
      </c>
    </row>
    <row r="786" spans="1:9" x14ac:dyDescent="0.35">
      <c r="A786" t="s">
        <v>828</v>
      </c>
      <c r="B786" s="1">
        <v>46162</v>
      </c>
      <c r="C786" t="s">
        <v>51</v>
      </c>
      <c r="D786" t="s">
        <v>25</v>
      </c>
      <c r="E786" t="s">
        <v>61</v>
      </c>
      <c r="F786" t="s">
        <v>13</v>
      </c>
      <c r="G786">
        <v>5</v>
      </c>
      <c r="H786">
        <v>7000</v>
      </c>
      <c r="I786">
        <v>35000</v>
      </c>
    </row>
    <row r="787" spans="1:9" x14ac:dyDescent="0.35">
      <c r="A787" t="s">
        <v>829</v>
      </c>
      <c r="B787" s="1">
        <v>46189</v>
      </c>
      <c r="C787" t="s">
        <v>39</v>
      </c>
      <c r="D787" t="s">
        <v>25</v>
      </c>
      <c r="E787" t="s">
        <v>21</v>
      </c>
      <c r="F787" t="s">
        <v>22</v>
      </c>
      <c r="G787">
        <v>2</v>
      </c>
      <c r="H787">
        <v>30800</v>
      </c>
      <c r="I787">
        <v>61600</v>
      </c>
    </row>
    <row r="788" spans="1:9" x14ac:dyDescent="0.35">
      <c r="A788" t="s">
        <v>830</v>
      </c>
      <c r="B788" s="1">
        <v>46124</v>
      </c>
      <c r="C788" t="s">
        <v>20</v>
      </c>
      <c r="D788" t="s">
        <v>25</v>
      </c>
      <c r="E788" t="s">
        <v>32</v>
      </c>
      <c r="F788" t="s">
        <v>13</v>
      </c>
      <c r="G788">
        <v>1</v>
      </c>
      <c r="H788">
        <v>5200</v>
      </c>
      <c r="I788">
        <v>5200</v>
      </c>
    </row>
    <row r="789" spans="1:9" x14ac:dyDescent="0.35">
      <c r="A789" t="s">
        <v>831</v>
      </c>
      <c r="B789" s="1">
        <v>46086</v>
      </c>
      <c r="C789" t="s">
        <v>31</v>
      </c>
      <c r="D789" t="s">
        <v>49</v>
      </c>
      <c r="E789" t="s">
        <v>32</v>
      </c>
      <c r="F789" t="s">
        <v>13</v>
      </c>
      <c r="G789">
        <v>8</v>
      </c>
      <c r="H789">
        <v>4300</v>
      </c>
      <c r="I789">
        <v>34400</v>
      </c>
    </row>
    <row r="790" spans="1:9" x14ac:dyDescent="0.35">
      <c r="A790" t="s">
        <v>832</v>
      </c>
      <c r="B790" s="1">
        <v>46173</v>
      </c>
      <c r="C790" t="s">
        <v>24</v>
      </c>
      <c r="D790" t="s">
        <v>74</v>
      </c>
      <c r="E790" t="s">
        <v>21</v>
      </c>
      <c r="F790" t="s">
        <v>22</v>
      </c>
      <c r="G790">
        <v>3</v>
      </c>
      <c r="H790">
        <v>28500</v>
      </c>
      <c r="I790">
        <v>85500</v>
      </c>
    </row>
    <row r="791" spans="1:9" x14ac:dyDescent="0.35">
      <c r="A791" t="s">
        <v>833</v>
      </c>
      <c r="B791" s="1">
        <v>46053</v>
      </c>
      <c r="C791" t="s">
        <v>65</v>
      </c>
      <c r="D791" t="s">
        <v>11</v>
      </c>
      <c r="E791" t="s">
        <v>37</v>
      </c>
      <c r="F791" t="s">
        <v>18</v>
      </c>
      <c r="G791">
        <v>7</v>
      </c>
      <c r="H791">
        <v>62100</v>
      </c>
      <c r="I791">
        <v>434700</v>
      </c>
    </row>
    <row r="792" spans="1:9" x14ac:dyDescent="0.35">
      <c r="A792" t="s">
        <v>834</v>
      </c>
      <c r="B792" s="1">
        <v>46198</v>
      </c>
      <c r="C792" t="s">
        <v>39</v>
      </c>
      <c r="D792" t="s">
        <v>16</v>
      </c>
      <c r="E792" t="s">
        <v>54</v>
      </c>
      <c r="F792" t="s">
        <v>55</v>
      </c>
      <c r="G792">
        <v>5</v>
      </c>
      <c r="H792">
        <v>19800</v>
      </c>
      <c r="I792">
        <v>99000</v>
      </c>
    </row>
    <row r="793" spans="1:9" x14ac:dyDescent="0.35">
      <c r="A793" t="s">
        <v>835</v>
      </c>
      <c r="B793" s="1">
        <v>46162</v>
      </c>
      <c r="C793" t="s">
        <v>46</v>
      </c>
      <c r="D793" t="s">
        <v>11</v>
      </c>
      <c r="E793" t="s">
        <v>17</v>
      </c>
      <c r="F793" t="s">
        <v>18</v>
      </c>
      <c r="G793">
        <v>4</v>
      </c>
      <c r="H793">
        <v>36000</v>
      </c>
      <c r="I793">
        <v>144000</v>
      </c>
    </row>
    <row r="794" spans="1:9" x14ac:dyDescent="0.35">
      <c r="A794" t="s">
        <v>836</v>
      </c>
      <c r="B794" s="1">
        <v>46047</v>
      </c>
      <c r="C794" t="s">
        <v>51</v>
      </c>
      <c r="D794" t="s">
        <v>49</v>
      </c>
      <c r="E794" t="s">
        <v>63</v>
      </c>
      <c r="F794" t="s">
        <v>55</v>
      </c>
      <c r="G794">
        <v>2</v>
      </c>
      <c r="H794">
        <v>26700</v>
      </c>
      <c r="I794">
        <v>53400</v>
      </c>
    </row>
    <row r="795" spans="1:9" x14ac:dyDescent="0.35">
      <c r="A795" t="s">
        <v>837</v>
      </c>
      <c r="B795" s="1">
        <v>46136</v>
      </c>
      <c r="C795" t="s">
        <v>20</v>
      </c>
      <c r="D795" t="s">
        <v>25</v>
      </c>
      <c r="E795" t="s">
        <v>37</v>
      </c>
      <c r="F795" t="s">
        <v>18</v>
      </c>
      <c r="G795">
        <v>8</v>
      </c>
      <c r="H795">
        <v>53600</v>
      </c>
      <c r="I795">
        <v>428800</v>
      </c>
    </row>
    <row r="796" spans="1:9" x14ac:dyDescent="0.35">
      <c r="A796" t="s">
        <v>838</v>
      </c>
      <c r="B796" s="1">
        <v>46137</v>
      </c>
      <c r="C796" t="s">
        <v>46</v>
      </c>
      <c r="D796" t="s">
        <v>25</v>
      </c>
      <c r="E796" t="s">
        <v>54</v>
      </c>
      <c r="F796" t="s">
        <v>55</v>
      </c>
      <c r="G796">
        <v>3</v>
      </c>
      <c r="H796">
        <v>19500</v>
      </c>
      <c r="I796">
        <v>58500</v>
      </c>
    </row>
    <row r="797" spans="1:9" x14ac:dyDescent="0.35">
      <c r="A797" t="s">
        <v>839</v>
      </c>
      <c r="B797" s="1">
        <v>46060</v>
      </c>
      <c r="C797" t="s">
        <v>34</v>
      </c>
      <c r="D797" t="s">
        <v>74</v>
      </c>
      <c r="E797" t="s">
        <v>54</v>
      </c>
      <c r="F797" t="s">
        <v>55</v>
      </c>
      <c r="G797">
        <v>3</v>
      </c>
      <c r="H797">
        <v>21500</v>
      </c>
      <c r="I797">
        <v>64500</v>
      </c>
    </row>
    <row r="798" spans="1:9" x14ac:dyDescent="0.35">
      <c r="A798" t="s">
        <v>840</v>
      </c>
      <c r="B798" s="1">
        <v>46051</v>
      </c>
      <c r="C798" t="s">
        <v>29</v>
      </c>
      <c r="D798" t="s">
        <v>74</v>
      </c>
      <c r="E798" t="s">
        <v>21</v>
      </c>
      <c r="F798" t="s">
        <v>22</v>
      </c>
      <c r="G798">
        <v>7</v>
      </c>
      <c r="H798">
        <v>29200</v>
      </c>
      <c r="I798">
        <v>204400</v>
      </c>
    </row>
    <row r="799" spans="1:9" x14ac:dyDescent="0.35">
      <c r="A799" t="s">
        <v>841</v>
      </c>
      <c r="B799" s="1">
        <v>46150</v>
      </c>
      <c r="C799" t="s">
        <v>39</v>
      </c>
      <c r="D799" t="s">
        <v>16</v>
      </c>
      <c r="E799" t="s">
        <v>37</v>
      </c>
      <c r="F799" t="s">
        <v>18</v>
      </c>
      <c r="G799">
        <v>5</v>
      </c>
      <c r="H799">
        <v>59700</v>
      </c>
      <c r="I799">
        <v>298500</v>
      </c>
    </row>
    <row r="800" spans="1:9" x14ac:dyDescent="0.35">
      <c r="A800" t="s">
        <v>842</v>
      </c>
      <c r="B800" s="1">
        <v>46130</v>
      </c>
      <c r="C800" t="s">
        <v>46</v>
      </c>
      <c r="D800" t="s">
        <v>16</v>
      </c>
      <c r="E800" t="s">
        <v>26</v>
      </c>
      <c r="F800" t="s">
        <v>18</v>
      </c>
      <c r="G800">
        <v>7</v>
      </c>
      <c r="H800">
        <v>83400</v>
      </c>
      <c r="I800">
        <v>583800</v>
      </c>
    </row>
    <row r="801" spans="1:9" x14ac:dyDescent="0.35">
      <c r="A801" t="s">
        <v>843</v>
      </c>
      <c r="B801" s="1">
        <v>46074</v>
      </c>
      <c r="C801" t="s">
        <v>65</v>
      </c>
      <c r="D801" t="s">
        <v>74</v>
      </c>
      <c r="E801" t="s">
        <v>12</v>
      </c>
      <c r="F801" t="s">
        <v>13</v>
      </c>
      <c r="G801">
        <v>5</v>
      </c>
      <c r="H801">
        <v>2300</v>
      </c>
      <c r="I801">
        <v>11500</v>
      </c>
    </row>
    <row r="802" spans="1:9" x14ac:dyDescent="0.35">
      <c r="A802" t="s">
        <v>844</v>
      </c>
      <c r="B802" s="1">
        <v>46146</v>
      </c>
      <c r="C802" t="s">
        <v>15</v>
      </c>
      <c r="D802" t="s">
        <v>36</v>
      </c>
      <c r="E802" t="s">
        <v>21</v>
      </c>
      <c r="F802" t="s">
        <v>22</v>
      </c>
      <c r="G802">
        <v>6</v>
      </c>
      <c r="H802">
        <v>27900</v>
      </c>
      <c r="I802">
        <v>167400</v>
      </c>
    </row>
    <row r="803" spans="1:9" x14ac:dyDescent="0.35">
      <c r="A803" t="s">
        <v>845</v>
      </c>
      <c r="B803" s="1">
        <v>46167</v>
      </c>
      <c r="C803" t="s">
        <v>29</v>
      </c>
      <c r="D803" t="s">
        <v>49</v>
      </c>
      <c r="E803" t="s">
        <v>63</v>
      </c>
      <c r="F803" t="s">
        <v>55</v>
      </c>
      <c r="G803">
        <v>2</v>
      </c>
      <c r="H803">
        <v>33800</v>
      </c>
      <c r="I803">
        <v>67600</v>
      </c>
    </row>
    <row r="804" spans="1:9" x14ac:dyDescent="0.35">
      <c r="A804" t="s">
        <v>846</v>
      </c>
      <c r="B804" s="1">
        <v>46110</v>
      </c>
      <c r="C804" t="s">
        <v>29</v>
      </c>
      <c r="D804" t="s">
        <v>74</v>
      </c>
      <c r="E804" t="s">
        <v>54</v>
      </c>
      <c r="F804" t="s">
        <v>55</v>
      </c>
      <c r="G804">
        <v>2</v>
      </c>
      <c r="H804">
        <v>22000</v>
      </c>
      <c r="I804">
        <v>44000</v>
      </c>
    </row>
    <row r="805" spans="1:9" x14ac:dyDescent="0.35">
      <c r="A805" t="s">
        <v>847</v>
      </c>
      <c r="B805" s="1">
        <v>46091</v>
      </c>
      <c r="C805" t="s">
        <v>44</v>
      </c>
      <c r="D805" t="s">
        <v>36</v>
      </c>
      <c r="E805" t="s">
        <v>40</v>
      </c>
      <c r="F805" t="s">
        <v>13</v>
      </c>
      <c r="G805">
        <v>3</v>
      </c>
      <c r="H805">
        <v>6300</v>
      </c>
      <c r="I805">
        <v>18900</v>
      </c>
    </row>
    <row r="806" spans="1:9" x14ac:dyDescent="0.35">
      <c r="A806" t="s">
        <v>848</v>
      </c>
      <c r="B806" s="1">
        <v>46097</v>
      </c>
      <c r="C806" t="s">
        <v>51</v>
      </c>
      <c r="D806" t="s">
        <v>25</v>
      </c>
      <c r="E806" t="s">
        <v>61</v>
      </c>
      <c r="F806" t="s">
        <v>13</v>
      </c>
      <c r="G806">
        <v>2</v>
      </c>
      <c r="H806">
        <v>7300</v>
      </c>
      <c r="I806">
        <v>14600</v>
      </c>
    </row>
    <row r="807" spans="1:9" x14ac:dyDescent="0.35">
      <c r="A807" t="s">
        <v>849</v>
      </c>
      <c r="B807" s="1">
        <v>46082</v>
      </c>
      <c r="C807" t="s">
        <v>29</v>
      </c>
      <c r="D807" t="s">
        <v>25</v>
      </c>
      <c r="E807" t="s">
        <v>21</v>
      </c>
      <c r="F807" t="s">
        <v>22</v>
      </c>
      <c r="G807">
        <v>6</v>
      </c>
      <c r="H807">
        <v>27600</v>
      </c>
      <c r="I807">
        <v>165600</v>
      </c>
    </row>
    <row r="808" spans="1:9" x14ac:dyDescent="0.35">
      <c r="A808" t="s">
        <v>850</v>
      </c>
      <c r="B808" s="1">
        <v>46077</v>
      </c>
      <c r="C808" t="s">
        <v>31</v>
      </c>
      <c r="D808" t="s">
        <v>74</v>
      </c>
      <c r="E808" t="s">
        <v>63</v>
      </c>
      <c r="F808" t="s">
        <v>55</v>
      </c>
      <c r="G808">
        <v>7</v>
      </c>
      <c r="H808">
        <v>32400</v>
      </c>
      <c r="I808">
        <v>226800</v>
      </c>
    </row>
    <row r="809" spans="1:9" x14ac:dyDescent="0.35">
      <c r="A809" t="s">
        <v>851</v>
      </c>
      <c r="B809" s="1">
        <v>46034</v>
      </c>
      <c r="C809" t="s">
        <v>65</v>
      </c>
      <c r="D809" t="s">
        <v>16</v>
      </c>
      <c r="E809" t="s">
        <v>12</v>
      </c>
      <c r="F809" t="s">
        <v>13</v>
      </c>
      <c r="G809">
        <v>4</v>
      </c>
      <c r="H809">
        <v>2200</v>
      </c>
      <c r="I809">
        <v>8800</v>
      </c>
    </row>
    <row r="810" spans="1:9" x14ac:dyDescent="0.35">
      <c r="A810" t="s">
        <v>852</v>
      </c>
      <c r="B810" s="1">
        <v>46203</v>
      </c>
      <c r="C810" t="s">
        <v>65</v>
      </c>
      <c r="D810" t="s">
        <v>74</v>
      </c>
      <c r="E810" t="s">
        <v>32</v>
      </c>
      <c r="F810" t="s">
        <v>13</v>
      </c>
      <c r="G810">
        <v>3</v>
      </c>
      <c r="H810">
        <v>4300</v>
      </c>
      <c r="I810">
        <v>12900</v>
      </c>
    </row>
    <row r="811" spans="1:9" x14ac:dyDescent="0.35">
      <c r="A811" t="s">
        <v>853</v>
      </c>
      <c r="B811" s="1">
        <v>46049</v>
      </c>
      <c r="C811" t="s">
        <v>24</v>
      </c>
      <c r="D811" t="s">
        <v>11</v>
      </c>
      <c r="E811" t="s">
        <v>40</v>
      </c>
      <c r="F811" t="s">
        <v>13</v>
      </c>
      <c r="G811">
        <v>3</v>
      </c>
      <c r="H811">
        <v>6300</v>
      </c>
      <c r="I811">
        <v>18900</v>
      </c>
    </row>
    <row r="812" spans="1:9" x14ac:dyDescent="0.35">
      <c r="A812" t="s">
        <v>854</v>
      </c>
      <c r="B812" s="1">
        <v>46102</v>
      </c>
      <c r="C812" t="s">
        <v>24</v>
      </c>
      <c r="D812" t="s">
        <v>36</v>
      </c>
      <c r="E812" t="s">
        <v>26</v>
      </c>
      <c r="F812" t="s">
        <v>18</v>
      </c>
      <c r="G812">
        <v>4</v>
      </c>
      <c r="H812">
        <v>90300</v>
      </c>
      <c r="I812">
        <v>361200</v>
      </c>
    </row>
    <row r="813" spans="1:9" x14ac:dyDescent="0.35">
      <c r="A813" t="s">
        <v>855</v>
      </c>
      <c r="B813" s="1">
        <v>46147</v>
      </c>
      <c r="C813" t="s">
        <v>39</v>
      </c>
      <c r="D813" t="s">
        <v>11</v>
      </c>
      <c r="E813" t="s">
        <v>63</v>
      </c>
      <c r="F813" t="s">
        <v>55</v>
      </c>
      <c r="G813">
        <v>3</v>
      </c>
      <c r="H813">
        <v>30600</v>
      </c>
      <c r="I813">
        <v>91800</v>
      </c>
    </row>
    <row r="814" spans="1:9" x14ac:dyDescent="0.35">
      <c r="A814" t="s">
        <v>856</v>
      </c>
      <c r="B814" s="1">
        <v>46144</v>
      </c>
      <c r="C814" t="s">
        <v>51</v>
      </c>
      <c r="D814" t="s">
        <v>25</v>
      </c>
      <c r="E814" t="s">
        <v>63</v>
      </c>
      <c r="F814" t="s">
        <v>55</v>
      </c>
      <c r="G814">
        <v>8</v>
      </c>
      <c r="H814">
        <v>27700</v>
      </c>
      <c r="I814">
        <v>221600</v>
      </c>
    </row>
    <row r="815" spans="1:9" x14ac:dyDescent="0.35">
      <c r="A815" t="s">
        <v>857</v>
      </c>
      <c r="B815" s="1">
        <v>46176</v>
      </c>
      <c r="C815" t="s">
        <v>44</v>
      </c>
      <c r="D815" t="s">
        <v>74</v>
      </c>
      <c r="E815" t="s">
        <v>17</v>
      </c>
      <c r="F815" t="s">
        <v>18</v>
      </c>
      <c r="G815">
        <v>4</v>
      </c>
      <c r="H815">
        <v>35600</v>
      </c>
      <c r="I815">
        <v>142400</v>
      </c>
    </row>
    <row r="816" spans="1:9" x14ac:dyDescent="0.35">
      <c r="A816" t="s">
        <v>858</v>
      </c>
      <c r="B816" s="1">
        <v>46174</v>
      </c>
      <c r="C816" t="s">
        <v>39</v>
      </c>
      <c r="D816" t="s">
        <v>36</v>
      </c>
      <c r="E816" t="s">
        <v>61</v>
      </c>
      <c r="F816" t="s">
        <v>13</v>
      </c>
      <c r="G816">
        <v>1</v>
      </c>
      <c r="H816">
        <v>7100</v>
      </c>
      <c r="I816">
        <v>7100</v>
      </c>
    </row>
    <row r="817" spans="1:9" x14ac:dyDescent="0.35">
      <c r="A817" t="s">
        <v>859</v>
      </c>
      <c r="B817" s="1">
        <v>46157</v>
      </c>
      <c r="C817" t="s">
        <v>15</v>
      </c>
      <c r="D817" t="s">
        <v>36</v>
      </c>
      <c r="E817" t="s">
        <v>40</v>
      </c>
      <c r="F817" t="s">
        <v>13</v>
      </c>
      <c r="G817">
        <v>7</v>
      </c>
      <c r="H817">
        <v>5800</v>
      </c>
      <c r="I817">
        <v>40600</v>
      </c>
    </row>
    <row r="818" spans="1:9" x14ac:dyDescent="0.35">
      <c r="A818" t="s">
        <v>860</v>
      </c>
      <c r="B818" s="1">
        <v>46185</v>
      </c>
      <c r="C818" t="s">
        <v>15</v>
      </c>
      <c r="D818" t="s">
        <v>16</v>
      </c>
      <c r="E818" t="s">
        <v>63</v>
      </c>
      <c r="F818" t="s">
        <v>55</v>
      </c>
      <c r="G818">
        <v>8</v>
      </c>
      <c r="H818">
        <v>31200</v>
      </c>
      <c r="I818">
        <v>249600</v>
      </c>
    </row>
    <row r="819" spans="1:9" x14ac:dyDescent="0.35">
      <c r="A819" t="s">
        <v>618</v>
      </c>
      <c r="B819" s="1">
        <v>46056</v>
      </c>
      <c r="C819" t="s">
        <v>34</v>
      </c>
      <c r="D819" t="s">
        <v>11</v>
      </c>
      <c r="E819" t="s">
        <v>21</v>
      </c>
      <c r="F819" t="s">
        <v>22</v>
      </c>
      <c r="G819">
        <v>4</v>
      </c>
      <c r="H819">
        <v>26000</v>
      </c>
      <c r="I819">
        <v>104000</v>
      </c>
    </row>
    <row r="820" spans="1:9" x14ac:dyDescent="0.35">
      <c r="A820" t="s">
        <v>861</v>
      </c>
      <c r="B820" s="1">
        <v>46119</v>
      </c>
      <c r="C820" t="s">
        <v>15</v>
      </c>
      <c r="D820" t="s">
        <v>16</v>
      </c>
      <c r="E820" t="s">
        <v>40</v>
      </c>
      <c r="F820" t="s">
        <v>13</v>
      </c>
      <c r="G820">
        <v>5</v>
      </c>
      <c r="H820">
        <v>6900</v>
      </c>
      <c r="I820">
        <v>34500</v>
      </c>
    </row>
    <row r="821" spans="1:9" x14ac:dyDescent="0.35">
      <c r="A821" t="s">
        <v>862</v>
      </c>
      <c r="B821" s="1">
        <v>46175</v>
      </c>
      <c r="C821" t="s">
        <v>31</v>
      </c>
      <c r="D821" t="s">
        <v>74</v>
      </c>
      <c r="E821" t="s">
        <v>26</v>
      </c>
      <c r="F821" t="s">
        <v>18</v>
      </c>
      <c r="G821">
        <v>1</v>
      </c>
      <c r="H821">
        <v>97300</v>
      </c>
      <c r="I821">
        <v>97300</v>
      </c>
    </row>
    <row r="822" spans="1:9" x14ac:dyDescent="0.35">
      <c r="A822" t="s">
        <v>863</v>
      </c>
      <c r="B822" s="1">
        <v>46138</v>
      </c>
      <c r="C822" t="s">
        <v>20</v>
      </c>
      <c r="D822" t="s">
        <v>11</v>
      </c>
      <c r="E822" t="s">
        <v>63</v>
      </c>
      <c r="F822" t="s">
        <v>55</v>
      </c>
      <c r="G822">
        <v>2</v>
      </c>
      <c r="H822">
        <v>32400</v>
      </c>
      <c r="I822">
        <v>64800</v>
      </c>
    </row>
    <row r="823" spans="1:9" x14ac:dyDescent="0.35">
      <c r="A823" t="s">
        <v>864</v>
      </c>
      <c r="B823" s="1">
        <v>46200</v>
      </c>
      <c r="C823" t="s">
        <v>46</v>
      </c>
      <c r="D823" t="s">
        <v>11</v>
      </c>
      <c r="E823" t="s">
        <v>32</v>
      </c>
      <c r="F823" t="s">
        <v>13</v>
      </c>
      <c r="G823">
        <v>3</v>
      </c>
      <c r="H823">
        <v>4100</v>
      </c>
      <c r="I823">
        <v>12300</v>
      </c>
    </row>
    <row r="824" spans="1:9" x14ac:dyDescent="0.35">
      <c r="A824" t="s">
        <v>865</v>
      </c>
      <c r="B824" s="1">
        <v>46169</v>
      </c>
      <c r="C824" t="s">
        <v>39</v>
      </c>
      <c r="D824" t="s">
        <v>36</v>
      </c>
      <c r="E824" t="s">
        <v>21</v>
      </c>
      <c r="F824" t="s">
        <v>22</v>
      </c>
      <c r="G824">
        <v>5</v>
      </c>
      <c r="H824">
        <v>30700</v>
      </c>
      <c r="I824">
        <v>153500</v>
      </c>
    </row>
    <row r="825" spans="1:9" x14ac:dyDescent="0.35">
      <c r="A825" t="s">
        <v>866</v>
      </c>
      <c r="B825" s="1">
        <v>46077</v>
      </c>
      <c r="C825" t="s">
        <v>46</v>
      </c>
      <c r="D825" t="s">
        <v>49</v>
      </c>
      <c r="E825" t="s">
        <v>26</v>
      </c>
      <c r="F825" t="s">
        <v>18</v>
      </c>
      <c r="G825">
        <v>4</v>
      </c>
      <c r="H825">
        <v>79900</v>
      </c>
      <c r="I825">
        <v>319600</v>
      </c>
    </row>
    <row r="826" spans="1:9" x14ac:dyDescent="0.35">
      <c r="A826" t="s">
        <v>867</v>
      </c>
      <c r="B826" s="1">
        <v>46200</v>
      </c>
      <c r="C826" t="s">
        <v>34</v>
      </c>
      <c r="D826" t="s">
        <v>49</v>
      </c>
      <c r="E826" t="s">
        <v>32</v>
      </c>
      <c r="F826" t="s">
        <v>13</v>
      </c>
      <c r="G826">
        <v>3</v>
      </c>
      <c r="H826">
        <v>4500</v>
      </c>
      <c r="I826">
        <v>13500</v>
      </c>
    </row>
    <row r="827" spans="1:9" x14ac:dyDescent="0.35">
      <c r="A827" t="s">
        <v>868</v>
      </c>
      <c r="B827" s="1">
        <v>46123</v>
      </c>
      <c r="C827" t="s">
        <v>29</v>
      </c>
      <c r="D827" t="s">
        <v>74</v>
      </c>
      <c r="E827" t="s">
        <v>54</v>
      </c>
      <c r="F827" t="s">
        <v>55</v>
      </c>
      <c r="G827">
        <v>3</v>
      </c>
      <c r="H827">
        <v>22900</v>
      </c>
      <c r="I827">
        <v>68700</v>
      </c>
    </row>
    <row r="828" spans="1:9" x14ac:dyDescent="0.35">
      <c r="A828" t="s">
        <v>869</v>
      </c>
      <c r="B828" s="1">
        <v>46198</v>
      </c>
      <c r="C828" t="s">
        <v>46</v>
      </c>
      <c r="D828" t="s">
        <v>49</v>
      </c>
      <c r="E828" t="s">
        <v>61</v>
      </c>
      <c r="F828" t="s">
        <v>13</v>
      </c>
      <c r="G828">
        <v>6</v>
      </c>
      <c r="H828">
        <v>7800</v>
      </c>
      <c r="I828">
        <v>46800</v>
      </c>
    </row>
    <row r="829" spans="1:9" x14ac:dyDescent="0.35">
      <c r="A829" t="s">
        <v>870</v>
      </c>
      <c r="B829" s="1">
        <v>46164</v>
      </c>
      <c r="C829" t="s">
        <v>29</v>
      </c>
      <c r="D829" t="s">
        <v>74</v>
      </c>
      <c r="E829" t="s">
        <v>17</v>
      </c>
      <c r="F829" t="s">
        <v>18</v>
      </c>
      <c r="G829">
        <v>1</v>
      </c>
      <c r="H829">
        <v>30700</v>
      </c>
      <c r="I829">
        <v>30700</v>
      </c>
    </row>
    <row r="830" spans="1:9" x14ac:dyDescent="0.35">
      <c r="A830" t="s">
        <v>871</v>
      </c>
      <c r="B830" s="1">
        <v>46179</v>
      </c>
      <c r="C830" t="s">
        <v>15</v>
      </c>
      <c r="D830" t="s">
        <v>36</v>
      </c>
      <c r="E830" t="s">
        <v>17</v>
      </c>
      <c r="F830" t="s">
        <v>18</v>
      </c>
      <c r="G830">
        <v>7</v>
      </c>
      <c r="H830">
        <v>31000</v>
      </c>
      <c r="I830">
        <v>217000</v>
      </c>
    </row>
    <row r="831" spans="1:9" x14ac:dyDescent="0.35">
      <c r="A831" t="s">
        <v>872</v>
      </c>
      <c r="B831" s="1">
        <v>46169</v>
      </c>
      <c r="C831" t="s">
        <v>51</v>
      </c>
      <c r="D831" t="s">
        <v>36</v>
      </c>
      <c r="E831" t="s">
        <v>21</v>
      </c>
      <c r="F831" t="s">
        <v>22</v>
      </c>
      <c r="G831">
        <v>7</v>
      </c>
      <c r="H831">
        <v>29100</v>
      </c>
      <c r="I831">
        <v>203700</v>
      </c>
    </row>
    <row r="832" spans="1:9" x14ac:dyDescent="0.35">
      <c r="A832" t="s">
        <v>873</v>
      </c>
      <c r="B832" s="1">
        <v>46187</v>
      </c>
      <c r="C832" t="s">
        <v>34</v>
      </c>
      <c r="D832" t="s">
        <v>74</v>
      </c>
      <c r="E832" t="s">
        <v>61</v>
      </c>
      <c r="F832" t="s">
        <v>13</v>
      </c>
      <c r="G832">
        <v>2</v>
      </c>
      <c r="H832">
        <v>8400</v>
      </c>
      <c r="I832">
        <v>16800</v>
      </c>
    </row>
    <row r="833" spans="1:9" x14ac:dyDescent="0.35">
      <c r="A833" t="s">
        <v>874</v>
      </c>
      <c r="B833" s="1">
        <v>46167</v>
      </c>
      <c r="C833" t="s">
        <v>29</v>
      </c>
      <c r="D833" t="s">
        <v>36</v>
      </c>
      <c r="E833" t="s">
        <v>61</v>
      </c>
      <c r="F833" t="s">
        <v>13</v>
      </c>
      <c r="G833">
        <v>6</v>
      </c>
      <c r="H833">
        <v>7000</v>
      </c>
      <c r="I833">
        <v>42000</v>
      </c>
    </row>
    <row r="834" spans="1:9" x14ac:dyDescent="0.35">
      <c r="A834" t="s">
        <v>875</v>
      </c>
      <c r="B834" s="1">
        <v>46184</v>
      </c>
      <c r="C834" t="s">
        <v>31</v>
      </c>
      <c r="D834" t="s">
        <v>74</v>
      </c>
      <c r="E834" t="s">
        <v>17</v>
      </c>
      <c r="F834" t="s">
        <v>18</v>
      </c>
      <c r="G834">
        <v>1</v>
      </c>
      <c r="H834">
        <v>38700</v>
      </c>
      <c r="I834">
        <v>38700</v>
      </c>
    </row>
    <row r="835" spans="1:9" x14ac:dyDescent="0.35">
      <c r="A835" t="s">
        <v>876</v>
      </c>
      <c r="B835" s="1">
        <v>46023</v>
      </c>
      <c r="C835" t="s">
        <v>44</v>
      </c>
      <c r="D835" t="s">
        <v>25</v>
      </c>
      <c r="E835" t="s">
        <v>40</v>
      </c>
      <c r="F835" t="s">
        <v>13</v>
      </c>
      <c r="G835">
        <v>1</v>
      </c>
      <c r="H835">
        <v>6300</v>
      </c>
      <c r="I835">
        <v>6300</v>
      </c>
    </row>
    <row r="836" spans="1:9" x14ac:dyDescent="0.35">
      <c r="A836" t="s">
        <v>877</v>
      </c>
      <c r="B836" s="1">
        <v>46098</v>
      </c>
      <c r="C836" t="s">
        <v>34</v>
      </c>
      <c r="D836" t="s">
        <v>25</v>
      </c>
      <c r="E836" t="s">
        <v>21</v>
      </c>
      <c r="F836" t="s">
        <v>22</v>
      </c>
      <c r="G836">
        <v>8</v>
      </c>
      <c r="H836">
        <v>27900</v>
      </c>
      <c r="I836">
        <v>223200</v>
      </c>
    </row>
    <row r="837" spans="1:9" x14ac:dyDescent="0.35">
      <c r="A837" t="s">
        <v>878</v>
      </c>
      <c r="B837" s="1">
        <v>46140</v>
      </c>
      <c r="C837" t="s">
        <v>34</v>
      </c>
      <c r="D837" t="s">
        <v>16</v>
      </c>
      <c r="E837" t="s">
        <v>12</v>
      </c>
      <c r="F837" t="s">
        <v>13</v>
      </c>
      <c r="G837">
        <v>6</v>
      </c>
      <c r="H837">
        <v>2800</v>
      </c>
      <c r="I837">
        <v>16800</v>
      </c>
    </row>
    <row r="838" spans="1:9" x14ac:dyDescent="0.35">
      <c r="A838" t="s">
        <v>879</v>
      </c>
      <c r="B838" s="1">
        <v>46060</v>
      </c>
      <c r="C838" t="s">
        <v>29</v>
      </c>
      <c r="D838" t="s">
        <v>25</v>
      </c>
      <c r="E838" t="s">
        <v>17</v>
      </c>
      <c r="F838" t="s">
        <v>18</v>
      </c>
      <c r="G838">
        <v>2</v>
      </c>
      <c r="H838">
        <v>33100</v>
      </c>
      <c r="I838">
        <v>66200</v>
      </c>
    </row>
    <row r="839" spans="1:9" x14ac:dyDescent="0.35">
      <c r="A839" t="s">
        <v>880</v>
      </c>
      <c r="B839" s="1">
        <v>46062</v>
      </c>
      <c r="C839" t="s">
        <v>65</v>
      </c>
      <c r="D839" t="s">
        <v>49</v>
      </c>
      <c r="E839" t="s">
        <v>32</v>
      </c>
      <c r="F839" t="s">
        <v>13</v>
      </c>
      <c r="G839">
        <v>7</v>
      </c>
      <c r="H839">
        <v>4300</v>
      </c>
      <c r="I839">
        <v>30100</v>
      </c>
    </row>
    <row r="840" spans="1:9" x14ac:dyDescent="0.35">
      <c r="A840" t="s">
        <v>881</v>
      </c>
      <c r="B840" s="1">
        <v>46184</v>
      </c>
      <c r="C840" t="s">
        <v>65</v>
      </c>
      <c r="D840" t="s">
        <v>11</v>
      </c>
      <c r="E840" t="s">
        <v>26</v>
      </c>
      <c r="F840" t="s">
        <v>18</v>
      </c>
      <c r="G840">
        <v>2</v>
      </c>
      <c r="H840">
        <v>77600</v>
      </c>
      <c r="I840">
        <v>155200</v>
      </c>
    </row>
    <row r="841" spans="1:9" x14ac:dyDescent="0.35">
      <c r="A841" t="s">
        <v>882</v>
      </c>
      <c r="B841" s="1">
        <v>46040</v>
      </c>
      <c r="C841" t="s">
        <v>29</v>
      </c>
      <c r="D841" t="s">
        <v>16</v>
      </c>
      <c r="E841" t="s">
        <v>40</v>
      </c>
      <c r="F841" t="s">
        <v>13</v>
      </c>
      <c r="G841">
        <v>6</v>
      </c>
      <c r="H841">
        <v>7300</v>
      </c>
      <c r="I841">
        <v>43800</v>
      </c>
    </row>
    <row r="842" spans="1:9" x14ac:dyDescent="0.35">
      <c r="A842" t="s">
        <v>883</v>
      </c>
      <c r="B842" s="1">
        <v>46188</v>
      </c>
      <c r="C842" t="s">
        <v>51</v>
      </c>
      <c r="D842" t="s">
        <v>16</v>
      </c>
      <c r="E842" t="s">
        <v>12</v>
      </c>
      <c r="F842" t="s">
        <v>13</v>
      </c>
      <c r="G842">
        <v>3</v>
      </c>
      <c r="H842">
        <v>2700</v>
      </c>
      <c r="I842">
        <v>8100</v>
      </c>
    </row>
    <row r="843" spans="1:9" x14ac:dyDescent="0.35">
      <c r="A843" t="s">
        <v>884</v>
      </c>
      <c r="B843" s="1">
        <v>46067</v>
      </c>
      <c r="C843" t="s">
        <v>51</v>
      </c>
      <c r="D843" t="s">
        <v>49</v>
      </c>
      <c r="E843" t="s">
        <v>21</v>
      </c>
      <c r="F843" t="s">
        <v>22</v>
      </c>
      <c r="G843">
        <v>4</v>
      </c>
      <c r="H843">
        <v>29400</v>
      </c>
      <c r="I843">
        <v>117600</v>
      </c>
    </row>
    <row r="844" spans="1:9" x14ac:dyDescent="0.35">
      <c r="A844" t="s">
        <v>885</v>
      </c>
      <c r="B844" s="1">
        <v>46110</v>
      </c>
      <c r="C844" t="s">
        <v>10</v>
      </c>
      <c r="D844" t="s">
        <v>16</v>
      </c>
      <c r="E844" t="s">
        <v>12</v>
      </c>
      <c r="F844" t="s">
        <v>13</v>
      </c>
      <c r="G844">
        <v>5</v>
      </c>
      <c r="H844">
        <v>2400</v>
      </c>
      <c r="I844">
        <v>12000</v>
      </c>
    </row>
    <row r="845" spans="1:9" x14ac:dyDescent="0.35">
      <c r="A845" t="s">
        <v>886</v>
      </c>
      <c r="B845" s="1">
        <v>46041</v>
      </c>
      <c r="C845" t="s">
        <v>31</v>
      </c>
      <c r="D845" t="s">
        <v>74</v>
      </c>
      <c r="E845" t="s">
        <v>54</v>
      </c>
      <c r="F845" t="s">
        <v>55</v>
      </c>
      <c r="G845">
        <v>3</v>
      </c>
      <c r="H845">
        <v>23700</v>
      </c>
      <c r="I845">
        <v>71100</v>
      </c>
    </row>
    <row r="846" spans="1:9" x14ac:dyDescent="0.35">
      <c r="A846" t="s">
        <v>887</v>
      </c>
      <c r="B846" s="1">
        <v>46139</v>
      </c>
      <c r="C846" t="s">
        <v>39</v>
      </c>
      <c r="D846" t="s">
        <v>49</v>
      </c>
      <c r="E846" t="s">
        <v>54</v>
      </c>
      <c r="F846" t="s">
        <v>55</v>
      </c>
      <c r="G846">
        <v>4</v>
      </c>
      <c r="H846">
        <v>23000</v>
      </c>
      <c r="I846">
        <v>92000</v>
      </c>
    </row>
    <row r="847" spans="1:9" x14ac:dyDescent="0.35">
      <c r="A847" t="s">
        <v>888</v>
      </c>
      <c r="B847" s="1">
        <v>46076</v>
      </c>
      <c r="C847" t="s">
        <v>46</v>
      </c>
      <c r="D847" t="s">
        <v>74</v>
      </c>
      <c r="E847" t="s">
        <v>26</v>
      </c>
      <c r="F847" t="s">
        <v>18</v>
      </c>
      <c r="G847">
        <v>1</v>
      </c>
      <c r="H847">
        <v>83800</v>
      </c>
      <c r="I847">
        <v>83800</v>
      </c>
    </row>
    <row r="848" spans="1:9" x14ac:dyDescent="0.35">
      <c r="A848" t="s">
        <v>889</v>
      </c>
      <c r="B848" s="1">
        <v>46113</v>
      </c>
      <c r="C848" t="s">
        <v>10</v>
      </c>
      <c r="D848" t="s">
        <v>16</v>
      </c>
      <c r="E848" t="s">
        <v>26</v>
      </c>
      <c r="F848" t="s">
        <v>18</v>
      </c>
      <c r="G848">
        <v>7</v>
      </c>
      <c r="H848">
        <v>84400</v>
      </c>
      <c r="I848">
        <v>590800</v>
      </c>
    </row>
    <row r="849" spans="1:9" x14ac:dyDescent="0.35">
      <c r="A849" t="s">
        <v>890</v>
      </c>
      <c r="B849" s="1">
        <v>46119</v>
      </c>
      <c r="C849" t="s">
        <v>39</v>
      </c>
      <c r="D849" t="s">
        <v>74</v>
      </c>
      <c r="E849" t="s">
        <v>40</v>
      </c>
      <c r="F849" t="s">
        <v>13</v>
      </c>
      <c r="G849">
        <v>3</v>
      </c>
      <c r="H849">
        <v>6300</v>
      </c>
      <c r="I849">
        <v>18900</v>
      </c>
    </row>
    <row r="850" spans="1:9" x14ac:dyDescent="0.35">
      <c r="A850" t="s">
        <v>891</v>
      </c>
      <c r="B850" s="1">
        <v>46116</v>
      </c>
      <c r="C850" t="s">
        <v>44</v>
      </c>
      <c r="D850" t="s">
        <v>16</v>
      </c>
      <c r="E850" t="s">
        <v>63</v>
      </c>
      <c r="F850" t="s">
        <v>55</v>
      </c>
      <c r="G850">
        <v>8</v>
      </c>
      <c r="H850">
        <v>31900</v>
      </c>
      <c r="I850">
        <v>255200</v>
      </c>
    </row>
    <row r="851" spans="1:9" x14ac:dyDescent="0.35">
      <c r="A851" t="s">
        <v>892</v>
      </c>
      <c r="B851" s="1">
        <v>46044</v>
      </c>
      <c r="C851" t="s">
        <v>15</v>
      </c>
      <c r="D851" t="s">
        <v>36</v>
      </c>
      <c r="E851" t="s">
        <v>21</v>
      </c>
      <c r="F851" t="s">
        <v>22</v>
      </c>
      <c r="G851">
        <v>8</v>
      </c>
      <c r="H851">
        <v>32000</v>
      </c>
      <c r="I851">
        <v>256000</v>
      </c>
    </row>
    <row r="852" spans="1:9" x14ac:dyDescent="0.35">
      <c r="A852" t="s">
        <v>893</v>
      </c>
      <c r="B852" s="1">
        <v>46051</v>
      </c>
      <c r="C852" t="s">
        <v>31</v>
      </c>
      <c r="D852" t="s">
        <v>11</v>
      </c>
      <c r="E852" t="s">
        <v>21</v>
      </c>
      <c r="F852" t="s">
        <v>22</v>
      </c>
      <c r="G852">
        <v>3</v>
      </c>
      <c r="H852">
        <v>26100</v>
      </c>
      <c r="I852">
        <v>78300</v>
      </c>
    </row>
    <row r="853" spans="1:9" x14ac:dyDescent="0.35">
      <c r="A853" t="s">
        <v>894</v>
      </c>
      <c r="B853" s="1">
        <v>46058</v>
      </c>
      <c r="C853" t="s">
        <v>46</v>
      </c>
      <c r="D853" t="s">
        <v>49</v>
      </c>
      <c r="E853" t="s">
        <v>54</v>
      </c>
      <c r="F853" t="s">
        <v>55</v>
      </c>
      <c r="G853">
        <v>3</v>
      </c>
      <c r="H853">
        <v>21900</v>
      </c>
      <c r="I853">
        <v>65700</v>
      </c>
    </row>
    <row r="854" spans="1:9" x14ac:dyDescent="0.35">
      <c r="A854" t="s">
        <v>895</v>
      </c>
      <c r="B854" s="1">
        <v>46083</v>
      </c>
      <c r="C854" t="s">
        <v>51</v>
      </c>
      <c r="D854" t="s">
        <v>36</v>
      </c>
      <c r="E854" t="s">
        <v>17</v>
      </c>
      <c r="F854" t="s">
        <v>18</v>
      </c>
      <c r="G854">
        <v>2</v>
      </c>
      <c r="H854">
        <v>36800</v>
      </c>
      <c r="I854">
        <v>73600</v>
      </c>
    </row>
    <row r="855" spans="1:9" x14ac:dyDescent="0.35">
      <c r="A855" t="s">
        <v>896</v>
      </c>
      <c r="B855" s="1">
        <v>46204</v>
      </c>
      <c r="C855" t="s">
        <v>34</v>
      </c>
      <c r="D855" t="s">
        <v>36</v>
      </c>
      <c r="E855" t="s">
        <v>63</v>
      </c>
      <c r="F855" t="s">
        <v>55</v>
      </c>
      <c r="G855">
        <v>4</v>
      </c>
      <c r="H855">
        <v>25600</v>
      </c>
      <c r="I855">
        <v>102400</v>
      </c>
    </row>
    <row r="856" spans="1:9" x14ac:dyDescent="0.35">
      <c r="A856" t="s">
        <v>897</v>
      </c>
      <c r="B856" s="1">
        <v>46188</v>
      </c>
      <c r="C856" t="s">
        <v>39</v>
      </c>
      <c r="D856" t="s">
        <v>36</v>
      </c>
      <c r="E856" t="s">
        <v>32</v>
      </c>
      <c r="F856" t="s">
        <v>13</v>
      </c>
      <c r="G856">
        <v>5</v>
      </c>
      <c r="H856">
        <v>4700</v>
      </c>
      <c r="I856">
        <v>23500</v>
      </c>
    </row>
    <row r="857" spans="1:9" x14ac:dyDescent="0.35">
      <c r="A857" t="s">
        <v>898</v>
      </c>
      <c r="B857" s="1">
        <v>46156</v>
      </c>
      <c r="C857" t="s">
        <v>10</v>
      </c>
      <c r="D857" t="s">
        <v>11</v>
      </c>
      <c r="E857" t="s">
        <v>37</v>
      </c>
      <c r="F857" t="s">
        <v>18</v>
      </c>
      <c r="G857">
        <v>7</v>
      </c>
      <c r="H857">
        <v>56900</v>
      </c>
      <c r="I857">
        <v>398300</v>
      </c>
    </row>
    <row r="858" spans="1:9" x14ac:dyDescent="0.35">
      <c r="A858" t="s">
        <v>899</v>
      </c>
      <c r="B858" s="1">
        <v>46160</v>
      </c>
      <c r="C858" t="s">
        <v>46</v>
      </c>
      <c r="D858" t="s">
        <v>16</v>
      </c>
      <c r="E858" t="s">
        <v>17</v>
      </c>
      <c r="F858" t="s">
        <v>18</v>
      </c>
      <c r="G858">
        <v>2</v>
      </c>
      <c r="H858">
        <v>32200</v>
      </c>
      <c r="I858">
        <v>64400</v>
      </c>
    </row>
    <row r="859" spans="1:9" x14ac:dyDescent="0.35">
      <c r="A859" t="s">
        <v>900</v>
      </c>
      <c r="B859" s="1">
        <v>46125</v>
      </c>
      <c r="C859" t="s">
        <v>20</v>
      </c>
      <c r="D859" t="s">
        <v>36</v>
      </c>
      <c r="E859" t="s">
        <v>61</v>
      </c>
      <c r="F859" t="s">
        <v>13</v>
      </c>
      <c r="G859">
        <v>2</v>
      </c>
      <c r="H859">
        <v>8800</v>
      </c>
      <c r="I859">
        <v>17600</v>
      </c>
    </row>
    <row r="860" spans="1:9" x14ac:dyDescent="0.35">
      <c r="A860" t="s">
        <v>901</v>
      </c>
      <c r="B860" s="1">
        <v>46159</v>
      </c>
      <c r="C860" t="s">
        <v>46</v>
      </c>
      <c r="D860" t="s">
        <v>25</v>
      </c>
      <c r="E860" t="s">
        <v>61</v>
      </c>
      <c r="F860" t="s">
        <v>13</v>
      </c>
      <c r="G860">
        <v>2</v>
      </c>
      <c r="H860">
        <v>9100</v>
      </c>
      <c r="I860">
        <v>18200</v>
      </c>
    </row>
    <row r="861" spans="1:9" x14ac:dyDescent="0.35">
      <c r="A861" t="s">
        <v>902</v>
      </c>
      <c r="B861" s="1">
        <v>46124</v>
      </c>
      <c r="C861" t="s">
        <v>10</v>
      </c>
      <c r="D861" t="s">
        <v>16</v>
      </c>
      <c r="E861" t="s">
        <v>40</v>
      </c>
      <c r="F861" t="s">
        <v>13</v>
      </c>
      <c r="G861">
        <v>5</v>
      </c>
      <c r="H861">
        <v>6700</v>
      </c>
      <c r="I861">
        <v>33500</v>
      </c>
    </row>
    <row r="862" spans="1:9" x14ac:dyDescent="0.35">
      <c r="A862" t="s">
        <v>903</v>
      </c>
      <c r="B862" s="1">
        <v>46102</v>
      </c>
      <c r="C862" t="s">
        <v>39</v>
      </c>
      <c r="D862" t="s">
        <v>49</v>
      </c>
      <c r="E862" t="s">
        <v>26</v>
      </c>
      <c r="F862" t="s">
        <v>18</v>
      </c>
      <c r="G862">
        <v>3</v>
      </c>
      <c r="H862">
        <v>79200</v>
      </c>
      <c r="I862">
        <v>237600</v>
      </c>
    </row>
    <row r="863" spans="1:9" x14ac:dyDescent="0.35">
      <c r="A863" t="s">
        <v>904</v>
      </c>
      <c r="B863" s="1">
        <v>46196</v>
      </c>
      <c r="C863" t="s">
        <v>46</v>
      </c>
      <c r="D863" t="s">
        <v>11</v>
      </c>
      <c r="E863" t="s">
        <v>26</v>
      </c>
      <c r="F863" t="s">
        <v>18</v>
      </c>
      <c r="G863">
        <v>6</v>
      </c>
      <c r="H863">
        <v>88800</v>
      </c>
      <c r="I863">
        <v>532800</v>
      </c>
    </row>
    <row r="864" spans="1:9" x14ac:dyDescent="0.35">
      <c r="A864" t="s">
        <v>905</v>
      </c>
      <c r="B864" s="1">
        <v>46127</v>
      </c>
      <c r="C864" t="s">
        <v>51</v>
      </c>
      <c r="D864" t="s">
        <v>16</v>
      </c>
      <c r="E864" t="s">
        <v>63</v>
      </c>
      <c r="F864" t="s">
        <v>55</v>
      </c>
      <c r="G864">
        <v>4</v>
      </c>
      <c r="H864">
        <v>33700</v>
      </c>
      <c r="I864">
        <v>134800</v>
      </c>
    </row>
    <row r="865" spans="1:9" x14ac:dyDescent="0.35">
      <c r="A865" t="s">
        <v>906</v>
      </c>
      <c r="B865" s="1">
        <v>46187</v>
      </c>
      <c r="C865" t="s">
        <v>24</v>
      </c>
      <c r="D865" t="s">
        <v>74</v>
      </c>
      <c r="E865" t="s">
        <v>21</v>
      </c>
      <c r="F865" t="s">
        <v>22</v>
      </c>
      <c r="G865">
        <v>5</v>
      </c>
      <c r="H865">
        <v>27600</v>
      </c>
      <c r="I865">
        <v>138000</v>
      </c>
    </row>
    <row r="866" spans="1:9" x14ac:dyDescent="0.35">
      <c r="A866" t="s">
        <v>907</v>
      </c>
      <c r="B866" s="1">
        <v>46097</v>
      </c>
      <c r="C866" t="s">
        <v>51</v>
      </c>
      <c r="D866" t="s">
        <v>36</v>
      </c>
      <c r="E866" t="s">
        <v>26</v>
      </c>
      <c r="F866" t="s">
        <v>18</v>
      </c>
      <c r="G866">
        <v>4</v>
      </c>
      <c r="H866">
        <v>90600</v>
      </c>
      <c r="I866">
        <v>362400</v>
      </c>
    </row>
    <row r="867" spans="1:9" x14ac:dyDescent="0.35">
      <c r="A867" t="s">
        <v>908</v>
      </c>
      <c r="B867" s="1">
        <v>46046</v>
      </c>
      <c r="C867" t="s">
        <v>24</v>
      </c>
      <c r="D867" t="s">
        <v>11</v>
      </c>
      <c r="E867" t="s">
        <v>17</v>
      </c>
      <c r="F867" t="s">
        <v>18</v>
      </c>
      <c r="G867">
        <v>8</v>
      </c>
      <c r="H867">
        <v>38600</v>
      </c>
      <c r="I867">
        <v>308800</v>
      </c>
    </row>
    <row r="868" spans="1:9" x14ac:dyDescent="0.35">
      <c r="A868" t="s">
        <v>909</v>
      </c>
      <c r="B868" s="1">
        <v>46066</v>
      </c>
      <c r="C868" t="s">
        <v>34</v>
      </c>
      <c r="D868" t="s">
        <v>74</v>
      </c>
      <c r="E868" t="s">
        <v>61</v>
      </c>
      <c r="F868" t="s">
        <v>13</v>
      </c>
      <c r="G868">
        <v>6</v>
      </c>
      <c r="H868">
        <v>8000</v>
      </c>
      <c r="I868">
        <v>48000</v>
      </c>
    </row>
    <row r="869" spans="1:9" x14ac:dyDescent="0.35">
      <c r="A869" t="s">
        <v>910</v>
      </c>
      <c r="B869" s="1">
        <v>46175</v>
      </c>
      <c r="C869" t="s">
        <v>29</v>
      </c>
      <c r="D869" t="s">
        <v>74</v>
      </c>
      <c r="E869" t="s">
        <v>12</v>
      </c>
      <c r="F869" t="s">
        <v>13</v>
      </c>
      <c r="G869">
        <v>4</v>
      </c>
      <c r="H869">
        <v>2600</v>
      </c>
      <c r="I869">
        <v>10400</v>
      </c>
    </row>
    <row r="870" spans="1:9" x14ac:dyDescent="0.35">
      <c r="A870" t="s">
        <v>911</v>
      </c>
      <c r="B870" s="1">
        <v>46180</v>
      </c>
      <c r="C870" t="s">
        <v>65</v>
      </c>
      <c r="D870" t="s">
        <v>11</v>
      </c>
      <c r="E870" t="s">
        <v>32</v>
      </c>
      <c r="F870" t="s">
        <v>13</v>
      </c>
      <c r="G870">
        <v>1</v>
      </c>
      <c r="H870">
        <v>4700</v>
      </c>
      <c r="I870">
        <v>4700</v>
      </c>
    </row>
    <row r="871" spans="1:9" x14ac:dyDescent="0.35">
      <c r="A871" t="s">
        <v>912</v>
      </c>
      <c r="B871" s="1">
        <v>46103</v>
      </c>
      <c r="C871" t="s">
        <v>29</v>
      </c>
      <c r="D871" t="s">
        <v>25</v>
      </c>
      <c r="E871" t="s">
        <v>40</v>
      </c>
      <c r="F871" t="s">
        <v>13</v>
      </c>
      <c r="G871">
        <v>2</v>
      </c>
      <c r="H871">
        <v>6800</v>
      </c>
      <c r="I871">
        <v>13600</v>
      </c>
    </row>
    <row r="872" spans="1:9" x14ac:dyDescent="0.35">
      <c r="A872" t="s">
        <v>913</v>
      </c>
      <c r="B872" s="1">
        <v>46181</v>
      </c>
      <c r="C872" t="s">
        <v>31</v>
      </c>
      <c r="D872" t="s">
        <v>74</v>
      </c>
      <c r="E872" t="s">
        <v>40</v>
      </c>
      <c r="F872" t="s">
        <v>13</v>
      </c>
      <c r="G872">
        <v>7</v>
      </c>
      <c r="H872">
        <v>6100</v>
      </c>
      <c r="I872">
        <v>42700</v>
      </c>
    </row>
    <row r="873" spans="1:9" x14ac:dyDescent="0.35">
      <c r="A873" t="s">
        <v>914</v>
      </c>
      <c r="B873" s="1">
        <v>46060</v>
      </c>
      <c r="C873" t="s">
        <v>51</v>
      </c>
      <c r="D873" t="s">
        <v>25</v>
      </c>
      <c r="E873" t="s">
        <v>26</v>
      </c>
      <c r="F873" t="s">
        <v>18</v>
      </c>
      <c r="G873">
        <v>6</v>
      </c>
      <c r="H873">
        <v>87100</v>
      </c>
      <c r="I873">
        <v>522600</v>
      </c>
    </row>
    <row r="874" spans="1:9" x14ac:dyDescent="0.35">
      <c r="A874" t="s">
        <v>915</v>
      </c>
      <c r="B874" s="1">
        <v>46094</v>
      </c>
      <c r="C874" t="s">
        <v>51</v>
      </c>
      <c r="D874" t="s">
        <v>49</v>
      </c>
      <c r="E874" t="s">
        <v>61</v>
      </c>
      <c r="F874" t="s">
        <v>13</v>
      </c>
      <c r="G874">
        <v>4</v>
      </c>
      <c r="H874">
        <v>7600</v>
      </c>
      <c r="I874">
        <v>30400</v>
      </c>
    </row>
    <row r="875" spans="1:9" x14ac:dyDescent="0.35">
      <c r="A875" t="s">
        <v>916</v>
      </c>
      <c r="B875" s="1">
        <v>46093</v>
      </c>
      <c r="C875" t="s">
        <v>51</v>
      </c>
      <c r="D875" t="s">
        <v>25</v>
      </c>
      <c r="E875" t="s">
        <v>61</v>
      </c>
      <c r="F875" t="s">
        <v>13</v>
      </c>
      <c r="G875">
        <v>8</v>
      </c>
      <c r="H875">
        <v>6900</v>
      </c>
      <c r="I875">
        <v>55200</v>
      </c>
    </row>
    <row r="876" spans="1:9" x14ac:dyDescent="0.35">
      <c r="A876" t="s">
        <v>917</v>
      </c>
      <c r="B876" s="1">
        <v>46093</v>
      </c>
      <c r="C876" t="s">
        <v>44</v>
      </c>
      <c r="D876" t="s">
        <v>74</v>
      </c>
      <c r="E876" t="s">
        <v>12</v>
      </c>
      <c r="F876" t="s">
        <v>13</v>
      </c>
      <c r="G876">
        <v>4</v>
      </c>
      <c r="H876">
        <v>2700</v>
      </c>
      <c r="I876">
        <v>10800</v>
      </c>
    </row>
    <row r="877" spans="1:9" x14ac:dyDescent="0.35">
      <c r="A877" t="s">
        <v>918</v>
      </c>
      <c r="B877" s="1">
        <v>46147</v>
      </c>
      <c r="C877" t="s">
        <v>15</v>
      </c>
      <c r="D877" t="s">
        <v>74</v>
      </c>
      <c r="E877" t="s">
        <v>37</v>
      </c>
      <c r="F877" t="s">
        <v>18</v>
      </c>
      <c r="G877">
        <v>2</v>
      </c>
      <c r="H877">
        <v>61700</v>
      </c>
      <c r="I877">
        <v>123400</v>
      </c>
    </row>
    <row r="878" spans="1:9" x14ac:dyDescent="0.35">
      <c r="A878" t="s">
        <v>919</v>
      </c>
      <c r="B878" s="1">
        <v>46117</v>
      </c>
      <c r="C878" t="s">
        <v>20</v>
      </c>
      <c r="D878" t="s">
        <v>16</v>
      </c>
      <c r="E878" t="s">
        <v>54</v>
      </c>
      <c r="F878" t="s">
        <v>55</v>
      </c>
      <c r="G878">
        <v>5</v>
      </c>
      <c r="H878">
        <v>23300</v>
      </c>
      <c r="I878">
        <v>116500</v>
      </c>
    </row>
    <row r="879" spans="1:9" x14ac:dyDescent="0.35">
      <c r="A879" t="s">
        <v>920</v>
      </c>
      <c r="B879" s="1">
        <v>46178</v>
      </c>
      <c r="C879" t="s">
        <v>31</v>
      </c>
      <c r="D879" t="s">
        <v>11</v>
      </c>
      <c r="E879" t="s">
        <v>40</v>
      </c>
      <c r="F879" t="s">
        <v>13</v>
      </c>
      <c r="G879">
        <v>4</v>
      </c>
      <c r="H879">
        <v>6200</v>
      </c>
      <c r="I879">
        <v>24800</v>
      </c>
    </row>
    <row r="880" spans="1:9" x14ac:dyDescent="0.35">
      <c r="A880" t="s">
        <v>921</v>
      </c>
      <c r="B880" s="1">
        <v>46105</v>
      </c>
      <c r="C880" t="s">
        <v>34</v>
      </c>
      <c r="D880" t="s">
        <v>74</v>
      </c>
      <c r="E880" t="s">
        <v>17</v>
      </c>
      <c r="F880" t="s">
        <v>18</v>
      </c>
      <c r="G880">
        <v>5</v>
      </c>
      <c r="H880">
        <v>37900</v>
      </c>
      <c r="I880">
        <v>189500</v>
      </c>
    </row>
    <row r="881" spans="1:9" x14ac:dyDescent="0.35">
      <c r="A881" t="s">
        <v>922</v>
      </c>
      <c r="B881" s="1">
        <v>46166</v>
      </c>
      <c r="C881" t="s">
        <v>51</v>
      </c>
      <c r="D881" t="s">
        <v>74</v>
      </c>
      <c r="E881" t="s">
        <v>12</v>
      </c>
      <c r="F881" t="s">
        <v>13</v>
      </c>
      <c r="G881">
        <v>2</v>
      </c>
      <c r="H881">
        <v>2400</v>
      </c>
      <c r="I881">
        <v>4800</v>
      </c>
    </row>
    <row r="882" spans="1:9" x14ac:dyDescent="0.35">
      <c r="A882" t="s">
        <v>923</v>
      </c>
      <c r="B882" s="1">
        <v>46033</v>
      </c>
      <c r="C882" t="s">
        <v>15</v>
      </c>
      <c r="D882" t="s">
        <v>25</v>
      </c>
      <c r="E882" t="s">
        <v>32</v>
      </c>
      <c r="F882" t="s">
        <v>13</v>
      </c>
      <c r="G882">
        <v>3</v>
      </c>
      <c r="H882">
        <v>4700</v>
      </c>
      <c r="I882">
        <v>14100</v>
      </c>
    </row>
    <row r="883" spans="1:9" x14ac:dyDescent="0.35">
      <c r="A883" t="s">
        <v>924</v>
      </c>
      <c r="B883" s="1">
        <v>46077</v>
      </c>
      <c r="C883" t="s">
        <v>15</v>
      </c>
      <c r="D883" t="s">
        <v>11</v>
      </c>
      <c r="E883" t="s">
        <v>21</v>
      </c>
      <c r="F883" t="s">
        <v>22</v>
      </c>
      <c r="G883">
        <v>7</v>
      </c>
      <c r="H883">
        <v>26000</v>
      </c>
      <c r="I883">
        <v>182000</v>
      </c>
    </row>
    <row r="884" spans="1:9" x14ac:dyDescent="0.35">
      <c r="A884" t="s">
        <v>925</v>
      </c>
      <c r="B884" s="1">
        <v>46155</v>
      </c>
      <c r="C884" t="s">
        <v>39</v>
      </c>
      <c r="D884" t="s">
        <v>74</v>
      </c>
      <c r="E884" t="s">
        <v>61</v>
      </c>
      <c r="F884" t="s">
        <v>13</v>
      </c>
      <c r="G884">
        <v>7</v>
      </c>
      <c r="H884">
        <v>6900</v>
      </c>
      <c r="I884">
        <v>48300</v>
      </c>
    </row>
    <row r="885" spans="1:9" x14ac:dyDescent="0.35">
      <c r="A885" t="s">
        <v>926</v>
      </c>
      <c r="B885" s="1">
        <v>46163</v>
      </c>
      <c r="C885" t="s">
        <v>29</v>
      </c>
      <c r="D885" t="s">
        <v>36</v>
      </c>
      <c r="E885" t="s">
        <v>12</v>
      </c>
      <c r="F885" t="s">
        <v>13</v>
      </c>
      <c r="G885">
        <v>2</v>
      </c>
      <c r="H885">
        <v>2500</v>
      </c>
      <c r="I885">
        <v>5000</v>
      </c>
    </row>
    <row r="886" spans="1:9" x14ac:dyDescent="0.35">
      <c r="A886" t="s">
        <v>927</v>
      </c>
      <c r="B886" s="1">
        <v>46180</v>
      </c>
      <c r="C886" t="s">
        <v>65</v>
      </c>
      <c r="D886" t="s">
        <v>16</v>
      </c>
      <c r="E886" t="s">
        <v>37</v>
      </c>
      <c r="F886" t="s">
        <v>18</v>
      </c>
      <c r="G886">
        <v>7</v>
      </c>
      <c r="H886">
        <v>47200</v>
      </c>
      <c r="I886">
        <v>330400</v>
      </c>
    </row>
    <row r="887" spans="1:9" x14ac:dyDescent="0.35">
      <c r="A887" t="s">
        <v>928</v>
      </c>
      <c r="B887" s="1">
        <v>46142</v>
      </c>
      <c r="C887" t="s">
        <v>10</v>
      </c>
      <c r="D887" t="s">
        <v>25</v>
      </c>
      <c r="E887" t="s">
        <v>61</v>
      </c>
      <c r="F887" t="s">
        <v>13</v>
      </c>
      <c r="G887">
        <v>3</v>
      </c>
      <c r="H887">
        <v>8800</v>
      </c>
      <c r="I887">
        <v>26400</v>
      </c>
    </row>
    <row r="888" spans="1:9" x14ac:dyDescent="0.35">
      <c r="A888" t="s">
        <v>929</v>
      </c>
      <c r="B888" s="1">
        <v>46150</v>
      </c>
      <c r="C888" t="s">
        <v>10</v>
      </c>
      <c r="D888" t="s">
        <v>25</v>
      </c>
      <c r="E888" t="s">
        <v>26</v>
      </c>
      <c r="F888" t="s">
        <v>18</v>
      </c>
      <c r="G888">
        <v>1</v>
      </c>
      <c r="H888">
        <v>95500</v>
      </c>
      <c r="I888">
        <v>95500</v>
      </c>
    </row>
    <row r="889" spans="1:9" x14ac:dyDescent="0.35">
      <c r="A889" t="s">
        <v>930</v>
      </c>
      <c r="B889" s="1">
        <v>46111</v>
      </c>
      <c r="C889" t="s">
        <v>20</v>
      </c>
      <c r="D889" t="s">
        <v>25</v>
      </c>
      <c r="E889" t="s">
        <v>54</v>
      </c>
      <c r="F889" t="s">
        <v>55</v>
      </c>
      <c r="G889">
        <v>1</v>
      </c>
      <c r="H889">
        <v>19500</v>
      </c>
      <c r="I889">
        <v>19500</v>
      </c>
    </row>
    <row r="890" spans="1:9" x14ac:dyDescent="0.35">
      <c r="A890" t="s">
        <v>931</v>
      </c>
      <c r="B890" s="1">
        <v>46148</v>
      </c>
      <c r="C890" t="s">
        <v>44</v>
      </c>
      <c r="D890" t="s">
        <v>16</v>
      </c>
      <c r="E890" t="s">
        <v>37</v>
      </c>
      <c r="F890" t="s">
        <v>18</v>
      </c>
      <c r="G890">
        <v>7</v>
      </c>
      <c r="H890">
        <v>58100</v>
      </c>
      <c r="I890">
        <v>406700</v>
      </c>
    </row>
    <row r="891" spans="1:9" x14ac:dyDescent="0.35">
      <c r="A891" t="s">
        <v>932</v>
      </c>
      <c r="B891" s="1">
        <v>46114</v>
      </c>
      <c r="C891" t="s">
        <v>10</v>
      </c>
      <c r="D891" t="s">
        <v>16</v>
      </c>
      <c r="E891" t="s">
        <v>21</v>
      </c>
      <c r="F891" t="s">
        <v>22</v>
      </c>
      <c r="G891">
        <v>8</v>
      </c>
      <c r="H891">
        <v>27700</v>
      </c>
      <c r="I891">
        <v>221600</v>
      </c>
    </row>
    <row r="892" spans="1:9" x14ac:dyDescent="0.35">
      <c r="A892" t="s">
        <v>933</v>
      </c>
      <c r="B892" s="1">
        <v>46077</v>
      </c>
      <c r="C892" t="s">
        <v>24</v>
      </c>
      <c r="D892" t="s">
        <v>49</v>
      </c>
      <c r="E892" t="s">
        <v>63</v>
      </c>
      <c r="F892" t="s">
        <v>55</v>
      </c>
      <c r="G892">
        <v>2</v>
      </c>
      <c r="H892">
        <v>26200</v>
      </c>
      <c r="I892">
        <v>52400</v>
      </c>
    </row>
    <row r="893" spans="1:9" x14ac:dyDescent="0.35">
      <c r="A893" t="s">
        <v>934</v>
      </c>
      <c r="B893" s="1">
        <v>46095</v>
      </c>
      <c r="C893" t="s">
        <v>39</v>
      </c>
      <c r="D893" t="s">
        <v>49</v>
      </c>
      <c r="E893" t="s">
        <v>12</v>
      </c>
      <c r="F893" t="s">
        <v>13</v>
      </c>
      <c r="G893">
        <v>3</v>
      </c>
      <c r="H893">
        <v>2900</v>
      </c>
      <c r="I893">
        <v>8700</v>
      </c>
    </row>
    <row r="894" spans="1:9" x14ac:dyDescent="0.35">
      <c r="A894" t="s">
        <v>935</v>
      </c>
      <c r="B894" s="1">
        <v>46091</v>
      </c>
      <c r="C894" t="s">
        <v>20</v>
      </c>
      <c r="D894" t="s">
        <v>25</v>
      </c>
      <c r="E894" t="s">
        <v>21</v>
      </c>
      <c r="F894" t="s">
        <v>22</v>
      </c>
      <c r="G894">
        <v>4</v>
      </c>
      <c r="H894">
        <v>27700</v>
      </c>
      <c r="I894">
        <v>110800</v>
      </c>
    </row>
    <row r="895" spans="1:9" x14ac:dyDescent="0.35">
      <c r="A895" t="s">
        <v>936</v>
      </c>
      <c r="B895" s="1">
        <v>46138</v>
      </c>
      <c r="C895" t="s">
        <v>29</v>
      </c>
      <c r="D895" t="s">
        <v>74</v>
      </c>
      <c r="E895" t="s">
        <v>54</v>
      </c>
      <c r="F895" t="s">
        <v>55</v>
      </c>
      <c r="G895">
        <v>1</v>
      </c>
      <c r="H895">
        <v>21100</v>
      </c>
      <c r="I895">
        <v>21100</v>
      </c>
    </row>
    <row r="896" spans="1:9" x14ac:dyDescent="0.35">
      <c r="A896" t="s">
        <v>937</v>
      </c>
      <c r="B896" s="1">
        <v>46107</v>
      </c>
      <c r="C896" t="s">
        <v>10</v>
      </c>
      <c r="D896" t="s">
        <v>36</v>
      </c>
      <c r="E896" t="s">
        <v>17</v>
      </c>
      <c r="F896" t="s">
        <v>18</v>
      </c>
      <c r="G896">
        <v>8</v>
      </c>
      <c r="H896">
        <v>33100</v>
      </c>
      <c r="I896">
        <v>264800</v>
      </c>
    </row>
    <row r="897" spans="1:9" x14ac:dyDescent="0.35">
      <c r="A897" t="s">
        <v>938</v>
      </c>
      <c r="B897" s="1">
        <v>46181</v>
      </c>
      <c r="C897" t="s">
        <v>34</v>
      </c>
      <c r="D897" t="s">
        <v>49</v>
      </c>
      <c r="E897" t="s">
        <v>26</v>
      </c>
      <c r="F897" t="s">
        <v>18</v>
      </c>
      <c r="G897">
        <v>2</v>
      </c>
      <c r="H897">
        <v>92400</v>
      </c>
      <c r="I897">
        <v>184800</v>
      </c>
    </row>
    <row r="898" spans="1:9" x14ac:dyDescent="0.35">
      <c r="A898" t="s">
        <v>939</v>
      </c>
      <c r="B898" s="1">
        <v>46145</v>
      </c>
      <c r="C898" t="s">
        <v>34</v>
      </c>
      <c r="D898" t="s">
        <v>25</v>
      </c>
      <c r="E898" t="s">
        <v>32</v>
      </c>
      <c r="F898" t="s">
        <v>13</v>
      </c>
      <c r="G898">
        <v>8</v>
      </c>
      <c r="H898">
        <v>5100</v>
      </c>
      <c r="I898">
        <v>40800</v>
      </c>
    </row>
    <row r="899" spans="1:9" x14ac:dyDescent="0.35">
      <c r="A899" t="s">
        <v>940</v>
      </c>
      <c r="B899" s="1">
        <v>46163</v>
      </c>
      <c r="C899" t="s">
        <v>20</v>
      </c>
      <c r="D899" t="s">
        <v>25</v>
      </c>
      <c r="E899" t="s">
        <v>37</v>
      </c>
      <c r="F899" t="s">
        <v>18</v>
      </c>
      <c r="G899">
        <v>5</v>
      </c>
      <c r="H899">
        <v>49400</v>
      </c>
      <c r="I899">
        <v>247000</v>
      </c>
    </row>
    <row r="900" spans="1:9" x14ac:dyDescent="0.35">
      <c r="A900" t="s">
        <v>941</v>
      </c>
      <c r="B900" s="1">
        <v>46190</v>
      </c>
      <c r="C900" t="s">
        <v>29</v>
      </c>
      <c r="D900" t="s">
        <v>25</v>
      </c>
      <c r="E900" t="s">
        <v>63</v>
      </c>
      <c r="F900" t="s">
        <v>55</v>
      </c>
      <c r="G900">
        <v>3</v>
      </c>
      <c r="H900">
        <v>32300</v>
      </c>
      <c r="I900">
        <v>96900</v>
      </c>
    </row>
    <row r="901" spans="1:9" x14ac:dyDescent="0.35">
      <c r="A901" t="s">
        <v>942</v>
      </c>
      <c r="B901" s="1">
        <v>46107</v>
      </c>
      <c r="C901" t="s">
        <v>24</v>
      </c>
      <c r="D901" t="s">
        <v>74</v>
      </c>
      <c r="E901" t="s">
        <v>26</v>
      </c>
      <c r="F901" t="s">
        <v>18</v>
      </c>
      <c r="G901">
        <v>4</v>
      </c>
      <c r="H901">
        <v>93800</v>
      </c>
      <c r="I901">
        <v>375200</v>
      </c>
    </row>
    <row r="902" spans="1:9" x14ac:dyDescent="0.35">
      <c r="A902" t="s">
        <v>943</v>
      </c>
      <c r="B902" s="1">
        <v>46026</v>
      </c>
      <c r="C902" t="s">
        <v>10</v>
      </c>
      <c r="D902" t="s">
        <v>16</v>
      </c>
      <c r="E902" t="s">
        <v>63</v>
      </c>
      <c r="F902" t="s">
        <v>55</v>
      </c>
      <c r="G902">
        <v>6</v>
      </c>
      <c r="H902">
        <v>33300</v>
      </c>
      <c r="I902">
        <v>199800</v>
      </c>
    </row>
    <row r="903" spans="1:9" x14ac:dyDescent="0.35">
      <c r="A903" t="s">
        <v>944</v>
      </c>
      <c r="B903" s="1">
        <v>46041</v>
      </c>
      <c r="C903" t="s">
        <v>29</v>
      </c>
      <c r="D903" t="s">
        <v>49</v>
      </c>
      <c r="E903" t="s">
        <v>63</v>
      </c>
      <c r="F903" t="s">
        <v>55</v>
      </c>
      <c r="G903">
        <v>5</v>
      </c>
      <c r="H903">
        <v>32700</v>
      </c>
      <c r="I903">
        <v>163500</v>
      </c>
    </row>
    <row r="904" spans="1:9" x14ac:dyDescent="0.35">
      <c r="A904" t="s">
        <v>945</v>
      </c>
      <c r="B904" s="1">
        <v>46127</v>
      </c>
      <c r="C904" t="s">
        <v>31</v>
      </c>
      <c r="D904" t="s">
        <v>49</v>
      </c>
      <c r="E904" t="s">
        <v>32</v>
      </c>
      <c r="F904" t="s">
        <v>13</v>
      </c>
      <c r="G904">
        <v>4</v>
      </c>
      <c r="H904">
        <v>4100</v>
      </c>
      <c r="I904">
        <v>16400</v>
      </c>
    </row>
    <row r="905" spans="1:9" x14ac:dyDescent="0.35">
      <c r="A905" t="s">
        <v>946</v>
      </c>
      <c r="B905" s="1">
        <v>46143</v>
      </c>
      <c r="C905" t="s">
        <v>20</v>
      </c>
      <c r="D905" t="s">
        <v>25</v>
      </c>
      <c r="E905" t="s">
        <v>12</v>
      </c>
      <c r="F905" t="s">
        <v>13</v>
      </c>
      <c r="G905">
        <v>8</v>
      </c>
      <c r="H905">
        <v>2600</v>
      </c>
      <c r="I905">
        <v>20800</v>
      </c>
    </row>
    <row r="906" spans="1:9" x14ac:dyDescent="0.35">
      <c r="A906" t="s">
        <v>947</v>
      </c>
      <c r="B906" s="1">
        <v>46170</v>
      </c>
      <c r="C906" t="s">
        <v>46</v>
      </c>
      <c r="D906" t="s">
        <v>36</v>
      </c>
      <c r="E906" t="s">
        <v>32</v>
      </c>
      <c r="F906" t="s">
        <v>13</v>
      </c>
      <c r="G906">
        <v>5</v>
      </c>
      <c r="H906">
        <v>4400</v>
      </c>
      <c r="I906">
        <v>22000</v>
      </c>
    </row>
    <row r="907" spans="1:9" x14ac:dyDescent="0.35">
      <c r="A907" t="s">
        <v>948</v>
      </c>
      <c r="B907" s="1">
        <v>46062</v>
      </c>
      <c r="C907" t="s">
        <v>29</v>
      </c>
      <c r="D907" t="s">
        <v>49</v>
      </c>
      <c r="E907" t="s">
        <v>12</v>
      </c>
      <c r="F907" t="s">
        <v>13</v>
      </c>
      <c r="G907">
        <v>4</v>
      </c>
      <c r="H907">
        <v>2900</v>
      </c>
      <c r="I907">
        <v>11600</v>
      </c>
    </row>
    <row r="908" spans="1:9" x14ac:dyDescent="0.35">
      <c r="A908" t="s">
        <v>949</v>
      </c>
      <c r="B908" s="1">
        <v>46201</v>
      </c>
      <c r="C908" t="s">
        <v>24</v>
      </c>
      <c r="D908" t="s">
        <v>16</v>
      </c>
      <c r="E908" t="s">
        <v>61</v>
      </c>
      <c r="F908" t="s">
        <v>13</v>
      </c>
      <c r="G908">
        <v>6</v>
      </c>
      <c r="H908">
        <v>8400</v>
      </c>
      <c r="I908">
        <v>50400</v>
      </c>
    </row>
    <row r="909" spans="1:9" x14ac:dyDescent="0.35">
      <c r="A909" t="s">
        <v>950</v>
      </c>
      <c r="B909" s="1">
        <v>46097</v>
      </c>
      <c r="C909" t="s">
        <v>24</v>
      </c>
      <c r="D909" t="s">
        <v>11</v>
      </c>
      <c r="E909" t="s">
        <v>32</v>
      </c>
      <c r="F909" t="s">
        <v>13</v>
      </c>
      <c r="G909">
        <v>8</v>
      </c>
      <c r="H909">
        <v>5100</v>
      </c>
      <c r="I909">
        <v>40800</v>
      </c>
    </row>
    <row r="910" spans="1:9" x14ac:dyDescent="0.35">
      <c r="A910" t="s">
        <v>951</v>
      </c>
      <c r="B910" s="1">
        <v>46111</v>
      </c>
      <c r="C910" t="s">
        <v>24</v>
      </c>
      <c r="D910" t="s">
        <v>74</v>
      </c>
      <c r="E910" t="s">
        <v>26</v>
      </c>
      <c r="F910" t="s">
        <v>18</v>
      </c>
      <c r="G910">
        <v>3</v>
      </c>
      <c r="H910">
        <v>84900</v>
      </c>
      <c r="I910">
        <v>254700</v>
      </c>
    </row>
    <row r="911" spans="1:9" x14ac:dyDescent="0.35">
      <c r="A911" t="s">
        <v>952</v>
      </c>
      <c r="B911" s="1">
        <v>46118</v>
      </c>
      <c r="C911" t="s">
        <v>44</v>
      </c>
      <c r="D911" t="s">
        <v>36</v>
      </c>
      <c r="E911" t="s">
        <v>21</v>
      </c>
      <c r="F911" t="s">
        <v>22</v>
      </c>
      <c r="G911">
        <v>5</v>
      </c>
      <c r="H911">
        <v>28400</v>
      </c>
      <c r="I911">
        <v>142000</v>
      </c>
    </row>
    <row r="912" spans="1:9" x14ac:dyDescent="0.35">
      <c r="A912" t="s">
        <v>953</v>
      </c>
      <c r="B912" s="1">
        <v>46120</v>
      </c>
      <c r="C912" t="s">
        <v>20</v>
      </c>
      <c r="D912" t="s">
        <v>16</v>
      </c>
      <c r="E912" t="s">
        <v>37</v>
      </c>
      <c r="F912" t="s">
        <v>18</v>
      </c>
      <c r="G912">
        <v>6</v>
      </c>
      <c r="H912">
        <v>63100</v>
      </c>
      <c r="I912">
        <v>378600</v>
      </c>
    </row>
    <row r="913" spans="1:9" x14ac:dyDescent="0.35">
      <c r="A913" t="s">
        <v>954</v>
      </c>
      <c r="B913" s="1">
        <v>46026</v>
      </c>
      <c r="C913" t="s">
        <v>34</v>
      </c>
      <c r="D913" t="s">
        <v>36</v>
      </c>
      <c r="E913" t="s">
        <v>61</v>
      </c>
      <c r="F913" t="s">
        <v>13</v>
      </c>
      <c r="G913">
        <v>6</v>
      </c>
      <c r="H913">
        <v>7400</v>
      </c>
      <c r="I913">
        <v>44400</v>
      </c>
    </row>
    <row r="914" spans="1:9" x14ac:dyDescent="0.35">
      <c r="A914" t="s">
        <v>955</v>
      </c>
      <c r="B914" s="1">
        <v>46041</v>
      </c>
      <c r="C914" t="s">
        <v>20</v>
      </c>
      <c r="D914" t="s">
        <v>74</v>
      </c>
      <c r="E914" t="s">
        <v>32</v>
      </c>
      <c r="F914" t="s">
        <v>13</v>
      </c>
      <c r="G914">
        <v>7</v>
      </c>
      <c r="H914">
        <v>4900</v>
      </c>
      <c r="I914">
        <v>34300</v>
      </c>
    </row>
    <row r="915" spans="1:9" x14ac:dyDescent="0.35">
      <c r="A915" t="s">
        <v>956</v>
      </c>
      <c r="B915" s="1">
        <v>46191</v>
      </c>
      <c r="C915" t="s">
        <v>46</v>
      </c>
      <c r="D915" t="s">
        <v>74</v>
      </c>
      <c r="E915" t="s">
        <v>54</v>
      </c>
      <c r="F915" t="s">
        <v>55</v>
      </c>
      <c r="G915">
        <v>2</v>
      </c>
      <c r="H915">
        <v>19300</v>
      </c>
      <c r="I915">
        <v>38600</v>
      </c>
    </row>
    <row r="916" spans="1:9" x14ac:dyDescent="0.35">
      <c r="A916" t="s">
        <v>957</v>
      </c>
      <c r="B916" s="1">
        <v>46087</v>
      </c>
      <c r="C916" t="s">
        <v>24</v>
      </c>
      <c r="D916" t="s">
        <v>36</v>
      </c>
      <c r="E916" t="s">
        <v>17</v>
      </c>
      <c r="F916" t="s">
        <v>18</v>
      </c>
      <c r="G916">
        <v>1</v>
      </c>
      <c r="H916">
        <v>31600</v>
      </c>
      <c r="I916">
        <v>31600</v>
      </c>
    </row>
    <row r="917" spans="1:9" x14ac:dyDescent="0.35">
      <c r="A917" t="s">
        <v>958</v>
      </c>
      <c r="B917" s="1">
        <v>46161</v>
      </c>
      <c r="C917" t="s">
        <v>31</v>
      </c>
      <c r="D917" t="s">
        <v>49</v>
      </c>
      <c r="E917" t="s">
        <v>40</v>
      </c>
      <c r="F917" t="s">
        <v>13</v>
      </c>
      <c r="G917">
        <v>2</v>
      </c>
      <c r="H917">
        <v>6400</v>
      </c>
      <c r="I917">
        <v>12800</v>
      </c>
    </row>
    <row r="918" spans="1:9" x14ac:dyDescent="0.35">
      <c r="A918" t="s">
        <v>959</v>
      </c>
      <c r="B918" s="1">
        <v>46102</v>
      </c>
      <c r="C918" t="s">
        <v>39</v>
      </c>
      <c r="D918" t="s">
        <v>36</v>
      </c>
      <c r="E918" t="s">
        <v>17</v>
      </c>
      <c r="F918" t="s">
        <v>18</v>
      </c>
      <c r="G918">
        <v>8</v>
      </c>
      <c r="H918">
        <v>38800</v>
      </c>
      <c r="I918">
        <v>310400</v>
      </c>
    </row>
    <row r="919" spans="1:9" x14ac:dyDescent="0.35">
      <c r="A919" t="s">
        <v>960</v>
      </c>
      <c r="B919" s="1">
        <v>46057</v>
      </c>
      <c r="C919" t="s">
        <v>20</v>
      </c>
      <c r="D919" t="s">
        <v>25</v>
      </c>
      <c r="E919" t="s">
        <v>63</v>
      </c>
      <c r="F919" t="s">
        <v>55</v>
      </c>
      <c r="G919">
        <v>4</v>
      </c>
      <c r="H919">
        <v>27500</v>
      </c>
      <c r="I919">
        <v>110000</v>
      </c>
    </row>
    <row r="920" spans="1:9" x14ac:dyDescent="0.35">
      <c r="A920" t="s">
        <v>961</v>
      </c>
      <c r="B920" s="1">
        <v>46031</v>
      </c>
      <c r="C920" t="s">
        <v>31</v>
      </c>
      <c r="D920" t="s">
        <v>36</v>
      </c>
      <c r="E920" t="s">
        <v>17</v>
      </c>
      <c r="F920" t="s">
        <v>18</v>
      </c>
      <c r="G920">
        <v>2</v>
      </c>
      <c r="H920">
        <v>36000</v>
      </c>
      <c r="I920">
        <v>72000</v>
      </c>
    </row>
    <row r="921" spans="1:9" x14ac:dyDescent="0.35">
      <c r="A921" t="s">
        <v>962</v>
      </c>
      <c r="B921" s="1">
        <v>46086</v>
      </c>
      <c r="C921" t="s">
        <v>15</v>
      </c>
      <c r="D921" t="s">
        <v>11</v>
      </c>
      <c r="E921" t="s">
        <v>12</v>
      </c>
      <c r="F921" t="s">
        <v>13</v>
      </c>
      <c r="G921">
        <v>4</v>
      </c>
      <c r="H921">
        <v>2500</v>
      </c>
      <c r="I921">
        <v>10000</v>
      </c>
    </row>
    <row r="922" spans="1:9" x14ac:dyDescent="0.35">
      <c r="A922" t="s">
        <v>963</v>
      </c>
      <c r="B922" s="1">
        <v>46123</v>
      </c>
      <c r="C922" t="s">
        <v>34</v>
      </c>
      <c r="D922" t="s">
        <v>25</v>
      </c>
      <c r="E922" t="s">
        <v>12</v>
      </c>
      <c r="F922" t="s">
        <v>13</v>
      </c>
      <c r="G922">
        <v>3</v>
      </c>
      <c r="H922">
        <v>2400</v>
      </c>
      <c r="I922">
        <v>7200</v>
      </c>
    </row>
    <row r="923" spans="1:9" x14ac:dyDescent="0.35">
      <c r="A923" t="s">
        <v>964</v>
      </c>
      <c r="B923" s="1">
        <v>46121</v>
      </c>
      <c r="C923" t="s">
        <v>46</v>
      </c>
      <c r="D923" t="s">
        <v>25</v>
      </c>
      <c r="E923" t="s">
        <v>12</v>
      </c>
      <c r="F923" t="s">
        <v>13</v>
      </c>
      <c r="G923">
        <v>1</v>
      </c>
      <c r="H923">
        <v>2500</v>
      </c>
      <c r="I923">
        <v>2500</v>
      </c>
    </row>
    <row r="924" spans="1:9" x14ac:dyDescent="0.35">
      <c r="A924" t="s">
        <v>965</v>
      </c>
      <c r="B924" s="1">
        <v>46023</v>
      </c>
      <c r="C924" t="s">
        <v>10</v>
      </c>
      <c r="D924" t="s">
        <v>49</v>
      </c>
      <c r="E924" t="s">
        <v>32</v>
      </c>
      <c r="F924" t="s">
        <v>13</v>
      </c>
      <c r="G924">
        <v>5</v>
      </c>
      <c r="H924">
        <v>4400</v>
      </c>
      <c r="I924">
        <v>22000</v>
      </c>
    </row>
    <row r="925" spans="1:9" x14ac:dyDescent="0.35">
      <c r="A925" t="s">
        <v>966</v>
      </c>
      <c r="B925" s="1">
        <v>46093</v>
      </c>
      <c r="C925" t="s">
        <v>65</v>
      </c>
      <c r="D925" t="s">
        <v>36</v>
      </c>
      <c r="E925" t="s">
        <v>21</v>
      </c>
      <c r="F925" t="s">
        <v>22</v>
      </c>
      <c r="G925">
        <v>6</v>
      </c>
      <c r="H925">
        <v>24300</v>
      </c>
      <c r="I925">
        <v>145800</v>
      </c>
    </row>
    <row r="926" spans="1:9" x14ac:dyDescent="0.35">
      <c r="A926" t="s">
        <v>967</v>
      </c>
      <c r="B926" s="1">
        <v>46077</v>
      </c>
      <c r="C926" t="s">
        <v>24</v>
      </c>
      <c r="D926" t="s">
        <v>25</v>
      </c>
      <c r="E926" t="s">
        <v>12</v>
      </c>
      <c r="F926" t="s">
        <v>13</v>
      </c>
      <c r="G926">
        <v>5</v>
      </c>
      <c r="H926">
        <v>2600</v>
      </c>
      <c r="I926">
        <v>13000</v>
      </c>
    </row>
    <row r="927" spans="1:9" x14ac:dyDescent="0.35">
      <c r="A927" t="s">
        <v>968</v>
      </c>
      <c r="B927" s="1">
        <v>46041</v>
      </c>
      <c r="C927" t="s">
        <v>39</v>
      </c>
      <c r="D927" t="s">
        <v>74</v>
      </c>
      <c r="E927" t="s">
        <v>63</v>
      </c>
      <c r="F927" t="s">
        <v>55</v>
      </c>
      <c r="G927">
        <v>1</v>
      </c>
      <c r="H927">
        <v>31800</v>
      </c>
      <c r="I927">
        <v>31800</v>
      </c>
    </row>
    <row r="928" spans="1:9" x14ac:dyDescent="0.35">
      <c r="A928" t="s">
        <v>969</v>
      </c>
      <c r="B928" s="1">
        <v>46091</v>
      </c>
      <c r="C928" t="s">
        <v>24</v>
      </c>
      <c r="D928" t="s">
        <v>49</v>
      </c>
      <c r="E928" t="s">
        <v>61</v>
      </c>
      <c r="F928" t="s">
        <v>13</v>
      </c>
      <c r="G928">
        <v>2</v>
      </c>
      <c r="H928">
        <v>8200</v>
      </c>
      <c r="I928">
        <v>16400</v>
      </c>
    </row>
    <row r="929" spans="1:9" x14ac:dyDescent="0.35">
      <c r="A929" t="s">
        <v>970</v>
      </c>
      <c r="B929" s="1">
        <v>46027</v>
      </c>
      <c r="C929" t="s">
        <v>10</v>
      </c>
      <c r="D929" t="s">
        <v>74</v>
      </c>
      <c r="E929" t="s">
        <v>26</v>
      </c>
      <c r="F929" t="s">
        <v>18</v>
      </c>
      <c r="G929">
        <v>4</v>
      </c>
      <c r="H929">
        <v>91200</v>
      </c>
      <c r="I929">
        <v>364800</v>
      </c>
    </row>
    <row r="930" spans="1:9" x14ac:dyDescent="0.35">
      <c r="A930" t="s">
        <v>971</v>
      </c>
      <c r="B930" s="1">
        <v>46192</v>
      </c>
      <c r="C930" t="s">
        <v>51</v>
      </c>
      <c r="D930" t="s">
        <v>36</v>
      </c>
      <c r="E930" t="s">
        <v>37</v>
      </c>
      <c r="F930" t="s">
        <v>18</v>
      </c>
      <c r="G930">
        <v>3</v>
      </c>
      <c r="H930">
        <v>58000</v>
      </c>
      <c r="I930">
        <v>174000</v>
      </c>
    </row>
    <row r="931" spans="1:9" x14ac:dyDescent="0.35">
      <c r="A931" t="s">
        <v>972</v>
      </c>
      <c r="B931" s="1">
        <v>46196</v>
      </c>
      <c r="C931" t="s">
        <v>24</v>
      </c>
      <c r="D931" t="s">
        <v>16</v>
      </c>
      <c r="E931" t="s">
        <v>40</v>
      </c>
      <c r="F931" t="s">
        <v>13</v>
      </c>
      <c r="G931">
        <v>5</v>
      </c>
      <c r="H931">
        <v>5800</v>
      </c>
      <c r="I931">
        <v>29000</v>
      </c>
    </row>
    <row r="932" spans="1:9" x14ac:dyDescent="0.35">
      <c r="A932" t="s">
        <v>973</v>
      </c>
      <c r="B932" s="1">
        <v>46163</v>
      </c>
      <c r="C932" t="s">
        <v>20</v>
      </c>
      <c r="D932" t="s">
        <v>25</v>
      </c>
      <c r="E932" t="s">
        <v>61</v>
      </c>
      <c r="F932" t="s">
        <v>13</v>
      </c>
      <c r="G932">
        <v>7</v>
      </c>
      <c r="H932">
        <v>8800</v>
      </c>
      <c r="I932">
        <v>61600</v>
      </c>
    </row>
    <row r="933" spans="1:9" x14ac:dyDescent="0.35">
      <c r="A933" t="s">
        <v>974</v>
      </c>
      <c r="B933" s="1">
        <v>46170</v>
      </c>
      <c r="C933" t="s">
        <v>44</v>
      </c>
      <c r="D933" t="s">
        <v>49</v>
      </c>
      <c r="E933" t="s">
        <v>12</v>
      </c>
      <c r="F933" t="s">
        <v>13</v>
      </c>
      <c r="G933">
        <v>3</v>
      </c>
      <c r="H933">
        <v>2700</v>
      </c>
      <c r="I933">
        <v>8100</v>
      </c>
    </row>
    <row r="934" spans="1:9" x14ac:dyDescent="0.35">
      <c r="A934" t="s">
        <v>975</v>
      </c>
      <c r="B934" s="1">
        <v>46148</v>
      </c>
      <c r="C934" t="s">
        <v>20</v>
      </c>
      <c r="D934" t="s">
        <v>49</v>
      </c>
      <c r="E934" t="s">
        <v>61</v>
      </c>
      <c r="F934" t="s">
        <v>13</v>
      </c>
      <c r="G934">
        <v>1</v>
      </c>
      <c r="H934">
        <v>8500</v>
      </c>
      <c r="I934">
        <v>8500</v>
      </c>
    </row>
    <row r="935" spans="1:9" x14ac:dyDescent="0.35">
      <c r="A935" t="s">
        <v>976</v>
      </c>
      <c r="B935" s="1">
        <v>46155</v>
      </c>
      <c r="C935" t="s">
        <v>31</v>
      </c>
      <c r="D935" t="s">
        <v>16</v>
      </c>
      <c r="E935" t="s">
        <v>54</v>
      </c>
      <c r="F935" t="s">
        <v>55</v>
      </c>
      <c r="G935">
        <v>1</v>
      </c>
      <c r="H935">
        <v>19900</v>
      </c>
      <c r="I935">
        <v>19900</v>
      </c>
    </row>
    <row r="936" spans="1:9" x14ac:dyDescent="0.35">
      <c r="A936" t="s">
        <v>977</v>
      </c>
      <c r="B936" s="1">
        <v>46072</v>
      </c>
      <c r="C936" t="s">
        <v>39</v>
      </c>
      <c r="D936" t="s">
        <v>74</v>
      </c>
      <c r="E936" t="s">
        <v>37</v>
      </c>
      <c r="F936" t="s">
        <v>18</v>
      </c>
      <c r="G936">
        <v>1</v>
      </c>
      <c r="H936">
        <v>56200</v>
      </c>
      <c r="I936">
        <v>56200</v>
      </c>
    </row>
    <row r="937" spans="1:9" x14ac:dyDescent="0.35">
      <c r="A937" t="s">
        <v>978</v>
      </c>
      <c r="B937" s="1">
        <v>46100</v>
      </c>
      <c r="C937" t="s">
        <v>15</v>
      </c>
      <c r="D937" t="s">
        <v>36</v>
      </c>
      <c r="E937" t="s">
        <v>17</v>
      </c>
      <c r="F937" t="s">
        <v>18</v>
      </c>
      <c r="G937">
        <v>5</v>
      </c>
      <c r="H937">
        <v>38000</v>
      </c>
      <c r="I937">
        <v>190000</v>
      </c>
    </row>
    <row r="938" spans="1:9" x14ac:dyDescent="0.35">
      <c r="A938" t="s">
        <v>979</v>
      </c>
      <c r="B938" s="1">
        <v>46150</v>
      </c>
      <c r="C938" t="s">
        <v>44</v>
      </c>
      <c r="D938" t="s">
        <v>16</v>
      </c>
      <c r="E938" t="s">
        <v>40</v>
      </c>
      <c r="F938" t="s">
        <v>13</v>
      </c>
      <c r="G938">
        <v>6</v>
      </c>
      <c r="H938">
        <v>5800</v>
      </c>
      <c r="I938">
        <v>34800</v>
      </c>
    </row>
    <row r="939" spans="1:9" x14ac:dyDescent="0.35">
      <c r="A939" t="s">
        <v>980</v>
      </c>
      <c r="B939" s="1">
        <v>46037</v>
      </c>
      <c r="C939" t="s">
        <v>65</v>
      </c>
      <c r="D939" t="s">
        <v>36</v>
      </c>
      <c r="E939" t="s">
        <v>12</v>
      </c>
      <c r="F939" t="s">
        <v>13</v>
      </c>
      <c r="G939">
        <v>6</v>
      </c>
      <c r="H939">
        <v>2800</v>
      </c>
      <c r="I939">
        <v>16800</v>
      </c>
    </row>
    <row r="940" spans="1:9" x14ac:dyDescent="0.35">
      <c r="A940" t="s">
        <v>981</v>
      </c>
      <c r="B940" s="1">
        <v>46041</v>
      </c>
      <c r="C940" t="s">
        <v>20</v>
      </c>
      <c r="D940" t="s">
        <v>25</v>
      </c>
      <c r="E940" t="s">
        <v>61</v>
      </c>
      <c r="F940" t="s">
        <v>13</v>
      </c>
      <c r="G940">
        <v>4</v>
      </c>
      <c r="H940">
        <v>7100</v>
      </c>
      <c r="I940">
        <v>28400</v>
      </c>
    </row>
    <row r="941" spans="1:9" x14ac:dyDescent="0.35">
      <c r="A941" t="s">
        <v>982</v>
      </c>
      <c r="B941" s="1">
        <v>46037</v>
      </c>
      <c r="C941" t="s">
        <v>65</v>
      </c>
      <c r="D941" t="s">
        <v>74</v>
      </c>
      <c r="E941" t="s">
        <v>12</v>
      </c>
      <c r="F941" t="s">
        <v>13</v>
      </c>
      <c r="G941">
        <v>4</v>
      </c>
      <c r="H941">
        <v>2300</v>
      </c>
      <c r="I941">
        <v>9200</v>
      </c>
    </row>
    <row r="942" spans="1:9" x14ac:dyDescent="0.35">
      <c r="A942" t="s">
        <v>983</v>
      </c>
      <c r="B942" s="1">
        <v>46063</v>
      </c>
      <c r="C942" t="s">
        <v>51</v>
      </c>
      <c r="D942" t="s">
        <v>11</v>
      </c>
      <c r="E942" t="s">
        <v>26</v>
      </c>
      <c r="F942" t="s">
        <v>18</v>
      </c>
      <c r="G942">
        <v>2</v>
      </c>
      <c r="H942">
        <v>84100</v>
      </c>
      <c r="I942">
        <v>168200</v>
      </c>
    </row>
    <row r="943" spans="1:9" x14ac:dyDescent="0.35">
      <c r="A943" t="s">
        <v>984</v>
      </c>
      <c r="B943" s="1">
        <v>46137</v>
      </c>
      <c r="C943" t="s">
        <v>65</v>
      </c>
      <c r="D943" t="s">
        <v>74</v>
      </c>
      <c r="E943" t="s">
        <v>61</v>
      </c>
      <c r="F943" t="s">
        <v>13</v>
      </c>
      <c r="G943">
        <v>5</v>
      </c>
      <c r="H943">
        <v>8600</v>
      </c>
      <c r="I943">
        <v>43000</v>
      </c>
    </row>
    <row r="944" spans="1:9" x14ac:dyDescent="0.35">
      <c r="A944" t="s">
        <v>985</v>
      </c>
      <c r="B944" s="1">
        <v>46146</v>
      </c>
      <c r="C944" t="s">
        <v>39</v>
      </c>
      <c r="D944" t="s">
        <v>49</v>
      </c>
      <c r="E944" t="s">
        <v>61</v>
      </c>
      <c r="F944" t="s">
        <v>13</v>
      </c>
      <c r="G944">
        <v>3</v>
      </c>
      <c r="H944">
        <v>7900</v>
      </c>
      <c r="I944">
        <v>23700</v>
      </c>
    </row>
    <row r="945" spans="1:9" x14ac:dyDescent="0.35">
      <c r="A945" t="s">
        <v>986</v>
      </c>
      <c r="B945" s="1">
        <v>46067</v>
      </c>
      <c r="C945" t="s">
        <v>34</v>
      </c>
      <c r="D945" t="s">
        <v>16</v>
      </c>
      <c r="E945" t="s">
        <v>63</v>
      </c>
      <c r="F945" t="s">
        <v>55</v>
      </c>
      <c r="G945">
        <v>1</v>
      </c>
      <c r="H945">
        <v>34000</v>
      </c>
      <c r="I945">
        <v>34000</v>
      </c>
    </row>
    <row r="946" spans="1:9" x14ac:dyDescent="0.35">
      <c r="A946" t="s">
        <v>987</v>
      </c>
      <c r="B946" s="1">
        <v>46179</v>
      </c>
      <c r="C946" t="s">
        <v>65</v>
      </c>
      <c r="D946" t="s">
        <v>74</v>
      </c>
      <c r="E946" t="s">
        <v>26</v>
      </c>
      <c r="F946" t="s">
        <v>18</v>
      </c>
      <c r="G946">
        <v>5</v>
      </c>
      <c r="H946">
        <v>87700</v>
      </c>
      <c r="I946">
        <v>438500</v>
      </c>
    </row>
    <row r="947" spans="1:9" x14ac:dyDescent="0.35">
      <c r="A947" t="s">
        <v>988</v>
      </c>
      <c r="B947" s="1">
        <v>46090</v>
      </c>
      <c r="C947" t="s">
        <v>51</v>
      </c>
      <c r="D947" t="s">
        <v>11</v>
      </c>
      <c r="E947" t="s">
        <v>54</v>
      </c>
      <c r="F947" t="s">
        <v>55</v>
      </c>
      <c r="G947">
        <v>6</v>
      </c>
      <c r="H947">
        <v>24500</v>
      </c>
      <c r="I947">
        <v>147000</v>
      </c>
    </row>
    <row r="948" spans="1:9" x14ac:dyDescent="0.35">
      <c r="A948" t="s">
        <v>989</v>
      </c>
      <c r="B948" s="1">
        <v>46121</v>
      </c>
      <c r="C948" t="s">
        <v>46</v>
      </c>
      <c r="D948" t="s">
        <v>36</v>
      </c>
      <c r="E948" t="s">
        <v>63</v>
      </c>
      <c r="F948" t="s">
        <v>55</v>
      </c>
      <c r="G948">
        <v>2</v>
      </c>
      <c r="H948">
        <v>27600</v>
      </c>
      <c r="I948">
        <v>55200</v>
      </c>
    </row>
    <row r="949" spans="1:9" x14ac:dyDescent="0.35">
      <c r="A949" t="s">
        <v>990</v>
      </c>
      <c r="B949" s="1">
        <v>46029</v>
      </c>
      <c r="C949" t="s">
        <v>20</v>
      </c>
      <c r="D949" t="s">
        <v>36</v>
      </c>
      <c r="E949" t="s">
        <v>63</v>
      </c>
      <c r="F949" t="s">
        <v>55</v>
      </c>
      <c r="G949">
        <v>3</v>
      </c>
      <c r="H949">
        <v>28600</v>
      </c>
      <c r="I949">
        <v>85800</v>
      </c>
    </row>
    <row r="950" spans="1:9" x14ac:dyDescent="0.35">
      <c r="A950" t="s">
        <v>991</v>
      </c>
      <c r="B950" s="1">
        <v>46083</v>
      </c>
      <c r="C950" t="s">
        <v>24</v>
      </c>
      <c r="D950" t="s">
        <v>49</v>
      </c>
      <c r="E950" t="s">
        <v>21</v>
      </c>
      <c r="F950" t="s">
        <v>22</v>
      </c>
      <c r="G950">
        <v>6</v>
      </c>
      <c r="H950">
        <v>29100</v>
      </c>
      <c r="I950">
        <v>174600</v>
      </c>
    </row>
    <row r="951" spans="1:9" x14ac:dyDescent="0.35">
      <c r="A951" t="s">
        <v>992</v>
      </c>
      <c r="B951" s="1">
        <v>46152</v>
      </c>
      <c r="C951" t="s">
        <v>34</v>
      </c>
      <c r="D951" t="s">
        <v>16</v>
      </c>
      <c r="E951" t="s">
        <v>12</v>
      </c>
      <c r="F951" t="s">
        <v>13</v>
      </c>
      <c r="G951">
        <v>7</v>
      </c>
      <c r="H951">
        <v>2800</v>
      </c>
      <c r="I951">
        <v>19600</v>
      </c>
    </row>
    <row r="952" spans="1:9" x14ac:dyDescent="0.35">
      <c r="A952" t="s">
        <v>993</v>
      </c>
      <c r="B952" s="1">
        <v>46124</v>
      </c>
      <c r="C952" t="s">
        <v>65</v>
      </c>
      <c r="D952" t="s">
        <v>16</v>
      </c>
      <c r="E952" t="s">
        <v>63</v>
      </c>
      <c r="F952" t="s">
        <v>55</v>
      </c>
      <c r="G952">
        <v>5</v>
      </c>
      <c r="H952">
        <v>34400</v>
      </c>
      <c r="I952">
        <v>172000</v>
      </c>
    </row>
    <row r="953" spans="1:9" x14ac:dyDescent="0.35">
      <c r="A953" t="s">
        <v>994</v>
      </c>
      <c r="B953" s="1">
        <v>46033</v>
      </c>
      <c r="C953" t="s">
        <v>51</v>
      </c>
      <c r="D953" t="s">
        <v>36</v>
      </c>
      <c r="E953" t="s">
        <v>54</v>
      </c>
      <c r="F953" t="s">
        <v>55</v>
      </c>
      <c r="G953">
        <v>6</v>
      </c>
      <c r="H953">
        <v>19200</v>
      </c>
      <c r="I953">
        <v>115200</v>
      </c>
    </row>
    <row r="954" spans="1:9" x14ac:dyDescent="0.35">
      <c r="A954" t="s">
        <v>995</v>
      </c>
      <c r="B954" s="1">
        <v>46074</v>
      </c>
      <c r="C954" t="s">
        <v>10</v>
      </c>
      <c r="D954" t="s">
        <v>74</v>
      </c>
      <c r="E954" t="s">
        <v>54</v>
      </c>
      <c r="F954" t="s">
        <v>55</v>
      </c>
      <c r="G954">
        <v>8</v>
      </c>
      <c r="H954">
        <v>18800</v>
      </c>
      <c r="I954">
        <v>150400</v>
      </c>
    </row>
    <row r="955" spans="1:9" x14ac:dyDescent="0.35">
      <c r="A955" t="s">
        <v>996</v>
      </c>
      <c r="B955" s="1">
        <v>46184</v>
      </c>
      <c r="C955" t="s">
        <v>29</v>
      </c>
      <c r="D955" t="s">
        <v>16</v>
      </c>
      <c r="E955" t="s">
        <v>12</v>
      </c>
      <c r="F955" t="s">
        <v>13</v>
      </c>
      <c r="G955">
        <v>5</v>
      </c>
      <c r="H955">
        <v>2500</v>
      </c>
      <c r="I955">
        <v>12500</v>
      </c>
    </row>
    <row r="956" spans="1:9" x14ac:dyDescent="0.35">
      <c r="A956" t="s">
        <v>997</v>
      </c>
      <c r="B956" s="1">
        <v>46086</v>
      </c>
      <c r="C956" t="s">
        <v>51</v>
      </c>
      <c r="D956" t="s">
        <v>11</v>
      </c>
      <c r="E956" t="s">
        <v>26</v>
      </c>
      <c r="F956" t="s">
        <v>18</v>
      </c>
      <c r="G956">
        <v>7</v>
      </c>
      <c r="H956">
        <v>78000</v>
      </c>
      <c r="I956">
        <v>546000</v>
      </c>
    </row>
    <row r="957" spans="1:9" x14ac:dyDescent="0.35">
      <c r="A957" t="s">
        <v>998</v>
      </c>
      <c r="B957" s="1">
        <v>46026</v>
      </c>
      <c r="C957" t="s">
        <v>39</v>
      </c>
      <c r="D957" t="s">
        <v>74</v>
      </c>
      <c r="E957" t="s">
        <v>26</v>
      </c>
      <c r="F957" t="s">
        <v>18</v>
      </c>
      <c r="G957">
        <v>4</v>
      </c>
      <c r="H957">
        <v>90900</v>
      </c>
      <c r="I957">
        <v>363600</v>
      </c>
    </row>
    <row r="958" spans="1:9" x14ac:dyDescent="0.35">
      <c r="A958" t="s">
        <v>999</v>
      </c>
      <c r="B958" s="1">
        <v>46188</v>
      </c>
      <c r="C958" t="s">
        <v>31</v>
      </c>
      <c r="D958" t="s">
        <v>49</v>
      </c>
      <c r="E958" t="s">
        <v>32</v>
      </c>
      <c r="F958" t="s">
        <v>13</v>
      </c>
      <c r="G958">
        <v>2</v>
      </c>
      <c r="H958">
        <v>5000</v>
      </c>
      <c r="I958">
        <v>10000</v>
      </c>
    </row>
    <row r="959" spans="1:9" x14ac:dyDescent="0.35">
      <c r="A959" t="s">
        <v>1000</v>
      </c>
      <c r="B959" s="1">
        <v>46079</v>
      </c>
      <c r="C959" t="s">
        <v>15</v>
      </c>
      <c r="D959" t="s">
        <v>49</v>
      </c>
      <c r="E959" t="s">
        <v>54</v>
      </c>
      <c r="F959" t="s">
        <v>55</v>
      </c>
      <c r="G959">
        <v>3</v>
      </c>
      <c r="H959">
        <v>19800</v>
      </c>
      <c r="I959">
        <v>59400</v>
      </c>
    </row>
    <row r="960" spans="1:9" x14ac:dyDescent="0.35">
      <c r="A960" t="s">
        <v>1001</v>
      </c>
      <c r="B960" s="1">
        <v>46050</v>
      </c>
      <c r="C960" t="s">
        <v>20</v>
      </c>
      <c r="D960" t="s">
        <v>25</v>
      </c>
      <c r="E960" t="s">
        <v>63</v>
      </c>
      <c r="F960" t="s">
        <v>55</v>
      </c>
      <c r="G960">
        <v>2</v>
      </c>
      <c r="H960">
        <v>28000</v>
      </c>
      <c r="I960">
        <v>56000</v>
      </c>
    </row>
    <row r="961" spans="1:9" x14ac:dyDescent="0.35">
      <c r="A961" t="s">
        <v>1002</v>
      </c>
      <c r="B961" s="1">
        <v>46084</v>
      </c>
      <c r="C961" t="s">
        <v>10</v>
      </c>
      <c r="D961" t="s">
        <v>11</v>
      </c>
      <c r="E961" t="s">
        <v>61</v>
      </c>
      <c r="F961" t="s">
        <v>13</v>
      </c>
      <c r="G961">
        <v>3</v>
      </c>
      <c r="H961">
        <v>8300</v>
      </c>
      <c r="I961">
        <v>24900</v>
      </c>
    </row>
    <row r="962" spans="1:9" x14ac:dyDescent="0.35">
      <c r="A962" t="s">
        <v>1003</v>
      </c>
      <c r="B962" s="1">
        <v>46140</v>
      </c>
      <c r="C962" t="s">
        <v>46</v>
      </c>
      <c r="D962" t="s">
        <v>49</v>
      </c>
      <c r="E962" t="s">
        <v>21</v>
      </c>
      <c r="F962" t="s">
        <v>22</v>
      </c>
      <c r="G962">
        <v>7</v>
      </c>
      <c r="H962">
        <v>32100</v>
      </c>
      <c r="I962">
        <v>224700</v>
      </c>
    </row>
    <row r="963" spans="1:9" x14ac:dyDescent="0.35">
      <c r="A963" t="s">
        <v>1004</v>
      </c>
      <c r="B963" s="1">
        <v>46190</v>
      </c>
      <c r="C963" t="s">
        <v>65</v>
      </c>
      <c r="D963" t="s">
        <v>49</v>
      </c>
      <c r="E963" t="s">
        <v>37</v>
      </c>
      <c r="F963" t="s">
        <v>18</v>
      </c>
      <c r="G963">
        <v>2</v>
      </c>
      <c r="H963">
        <v>58900</v>
      </c>
      <c r="I963">
        <v>117800</v>
      </c>
    </row>
    <row r="964" spans="1:9" x14ac:dyDescent="0.35">
      <c r="A964" t="s">
        <v>1005</v>
      </c>
      <c r="B964" s="1">
        <v>46087</v>
      </c>
      <c r="C964" t="s">
        <v>31</v>
      </c>
      <c r="D964" t="s">
        <v>36</v>
      </c>
      <c r="E964" t="s">
        <v>12</v>
      </c>
      <c r="F964" t="s">
        <v>13</v>
      </c>
      <c r="G964">
        <v>5</v>
      </c>
      <c r="H964">
        <v>2500</v>
      </c>
      <c r="I964">
        <v>12500</v>
      </c>
    </row>
    <row r="965" spans="1:9" x14ac:dyDescent="0.35">
      <c r="A965" t="s">
        <v>1006</v>
      </c>
      <c r="B965" s="1">
        <v>46040</v>
      </c>
      <c r="C965" t="s">
        <v>51</v>
      </c>
      <c r="D965" t="s">
        <v>11</v>
      </c>
      <c r="E965" t="s">
        <v>61</v>
      </c>
      <c r="F965" t="s">
        <v>13</v>
      </c>
      <c r="G965">
        <v>5</v>
      </c>
      <c r="H965">
        <v>8800</v>
      </c>
      <c r="I965">
        <v>44000</v>
      </c>
    </row>
    <row r="966" spans="1:9" x14ac:dyDescent="0.35">
      <c r="A966" t="s">
        <v>1007</v>
      </c>
      <c r="B966" s="1">
        <v>46023</v>
      </c>
      <c r="C966" t="s">
        <v>31</v>
      </c>
      <c r="D966" t="s">
        <v>36</v>
      </c>
      <c r="E966" t="s">
        <v>17</v>
      </c>
      <c r="F966" t="s">
        <v>18</v>
      </c>
      <c r="G966">
        <v>4</v>
      </c>
      <c r="H966">
        <v>37500</v>
      </c>
      <c r="I966">
        <v>150000</v>
      </c>
    </row>
    <row r="967" spans="1:9" x14ac:dyDescent="0.35">
      <c r="A967" t="s">
        <v>1008</v>
      </c>
      <c r="B967" s="1">
        <v>46078</v>
      </c>
      <c r="C967" t="s">
        <v>15</v>
      </c>
      <c r="D967" t="s">
        <v>49</v>
      </c>
      <c r="E967" t="s">
        <v>32</v>
      </c>
      <c r="F967" t="s">
        <v>13</v>
      </c>
      <c r="G967">
        <v>8</v>
      </c>
      <c r="H967">
        <v>4200</v>
      </c>
      <c r="I967">
        <v>33600</v>
      </c>
    </row>
    <row r="968" spans="1:9" x14ac:dyDescent="0.35">
      <c r="A968" t="s">
        <v>1009</v>
      </c>
      <c r="B968" s="1">
        <v>46199</v>
      </c>
      <c r="C968" t="s">
        <v>10</v>
      </c>
      <c r="D968" t="s">
        <v>25</v>
      </c>
      <c r="E968" t="s">
        <v>40</v>
      </c>
      <c r="F968" t="s">
        <v>13</v>
      </c>
      <c r="G968">
        <v>3</v>
      </c>
      <c r="H968">
        <v>7200</v>
      </c>
      <c r="I968">
        <v>21600</v>
      </c>
    </row>
    <row r="969" spans="1:9" x14ac:dyDescent="0.35">
      <c r="A969" t="s">
        <v>1010</v>
      </c>
      <c r="B969" s="1">
        <v>46171</v>
      </c>
      <c r="C969" t="s">
        <v>20</v>
      </c>
      <c r="D969" t="s">
        <v>11</v>
      </c>
      <c r="E969" t="s">
        <v>61</v>
      </c>
      <c r="F969" t="s">
        <v>13</v>
      </c>
      <c r="G969">
        <v>8</v>
      </c>
      <c r="H969">
        <v>8600</v>
      </c>
      <c r="I969">
        <v>68800</v>
      </c>
    </row>
    <row r="970" spans="1:9" x14ac:dyDescent="0.35">
      <c r="A970" t="s">
        <v>1011</v>
      </c>
      <c r="B970" s="1">
        <v>46110</v>
      </c>
      <c r="C970" t="s">
        <v>29</v>
      </c>
      <c r="D970" t="s">
        <v>49</v>
      </c>
      <c r="E970" t="s">
        <v>17</v>
      </c>
      <c r="F970" t="s">
        <v>18</v>
      </c>
      <c r="G970">
        <v>5</v>
      </c>
      <c r="H970">
        <v>37800</v>
      </c>
      <c r="I970">
        <v>189000</v>
      </c>
    </row>
    <row r="971" spans="1:9" x14ac:dyDescent="0.35">
      <c r="A971" t="s">
        <v>1012</v>
      </c>
      <c r="B971" s="1">
        <v>46122</v>
      </c>
      <c r="C971" t="s">
        <v>24</v>
      </c>
      <c r="D971" t="s">
        <v>36</v>
      </c>
      <c r="E971" t="s">
        <v>26</v>
      </c>
      <c r="F971" t="s">
        <v>18</v>
      </c>
      <c r="G971">
        <v>3</v>
      </c>
      <c r="H971">
        <v>85000</v>
      </c>
      <c r="I971">
        <v>255000</v>
      </c>
    </row>
    <row r="972" spans="1:9" x14ac:dyDescent="0.35">
      <c r="A972" t="s">
        <v>1013</v>
      </c>
      <c r="B972" s="1">
        <v>46165</v>
      </c>
      <c r="C972" t="s">
        <v>24</v>
      </c>
      <c r="D972" t="s">
        <v>16</v>
      </c>
      <c r="E972" t="s">
        <v>32</v>
      </c>
      <c r="F972" t="s">
        <v>13</v>
      </c>
      <c r="G972">
        <v>7</v>
      </c>
      <c r="H972">
        <v>4400</v>
      </c>
      <c r="I972">
        <v>30800</v>
      </c>
    </row>
    <row r="973" spans="1:9" x14ac:dyDescent="0.35">
      <c r="A973" t="s">
        <v>1014</v>
      </c>
      <c r="B973" s="1">
        <v>46052</v>
      </c>
      <c r="C973" t="s">
        <v>20</v>
      </c>
      <c r="D973" t="s">
        <v>36</v>
      </c>
      <c r="E973" t="s">
        <v>54</v>
      </c>
      <c r="F973" t="s">
        <v>55</v>
      </c>
      <c r="G973">
        <v>7</v>
      </c>
      <c r="H973">
        <v>19300</v>
      </c>
      <c r="I973">
        <v>135100</v>
      </c>
    </row>
    <row r="974" spans="1:9" x14ac:dyDescent="0.35">
      <c r="A974" t="s">
        <v>1015</v>
      </c>
      <c r="B974" s="1">
        <v>46074</v>
      </c>
      <c r="C974" t="s">
        <v>15</v>
      </c>
      <c r="D974" t="s">
        <v>25</v>
      </c>
      <c r="E974" t="s">
        <v>54</v>
      </c>
      <c r="F974" t="s">
        <v>55</v>
      </c>
      <c r="G974">
        <v>7</v>
      </c>
      <c r="H974">
        <v>25100</v>
      </c>
      <c r="I974">
        <v>175700</v>
      </c>
    </row>
    <row r="975" spans="1:9" x14ac:dyDescent="0.35">
      <c r="A975" t="s">
        <v>1016</v>
      </c>
      <c r="B975" s="1">
        <v>46037</v>
      </c>
      <c r="C975" t="s">
        <v>39</v>
      </c>
      <c r="D975" t="s">
        <v>49</v>
      </c>
      <c r="E975" t="s">
        <v>63</v>
      </c>
      <c r="F975" t="s">
        <v>55</v>
      </c>
      <c r="G975">
        <v>7</v>
      </c>
      <c r="H975">
        <v>26200</v>
      </c>
      <c r="I975">
        <v>183400</v>
      </c>
    </row>
    <row r="976" spans="1:9" x14ac:dyDescent="0.35">
      <c r="A976" t="s">
        <v>1017</v>
      </c>
      <c r="B976" s="1">
        <v>46056</v>
      </c>
      <c r="C976" t="s">
        <v>24</v>
      </c>
      <c r="D976" t="s">
        <v>49</v>
      </c>
      <c r="E976" t="s">
        <v>21</v>
      </c>
      <c r="F976" t="s">
        <v>22</v>
      </c>
      <c r="G976">
        <v>7</v>
      </c>
      <c r="H976">
        <v>25300</v>
      </c>
      <c r="I976">
        <v>177100</v>
      </c>
    </row>
    <row r="977" spans="1:9" x14ac:dyDescent="0.35">
      <c r="A977" t="s">
        <v>1018</v>
      </c>
      <c r="B977" s="1">
        <v>46091</v>
      </c>
      <c r="C977" t="s">
        <v>39</v>
      </c>
      <c r="D977" t="s">
        <v>49</v>
      </c>
      <c r="E977" t="s">
        <v>37</v>
      </c>
      <c r="F977" t="s">
        <v>18</v>
      </c>
      <c r="G977">
        <v>4</v>
      </c>
      <c r="H977">
        <v>54100</v>
      </c>
      <c r="I977">
        <v>216400</v>
      </c>
    </row>
    <row r="978" spans="1:9" x14ac:dyDescent="0.35">
      <c r="A978" t="s">
        <v>1019</v>
      </c>
      <c r="B978" s="1">
        <v>46080</v>
      </c>
      <c r="C978" t="s">
        <v>24</v>
      </c>
      <c r="D978" t="s">
        <v>16</v>
      </c>
      <c r="E978" t="s">
        <v>17</v>
      </c>
      <c r="F978" t="s">
        <v>18</v>
      </c>
      <c r="G978">
        <v>5</v>
      </c>
      <c r="H978">
        <v>33700</v>
      </c>
      <c r="I978">
        <v>168500</v>
      </c>
    </row>
    <row r="979" spans="1:9" x14ac:dyDescent="0.35">
      <c r="A979" t="s">
        <v>1020</v>
      </c>
      <c r="B979" s="1">
        <v>46035</v>
      </c>
      <c r="C979" t="s">
        <v>39</v>
      </c>
      <c r="D979" t="s">
        <v>11</v>
      </c>
      <c r="E979" t="s">
        <v>32</v>
      </c>
      <c r="F979" t="s">
        <v>13</v>
      </c>
      <c r="G979">
        <v>7</v>
      </c>
      <c r="H979">
        <v>4600</v>
      </c>
      <c r="I979">
        <v>32200</v>
      </c>
    </row>
    <row r="980" spans="1:9" x14ac:dyDescent="0.35">
      <c r="A980" t="s">
        <v>1021</v>
      </c>
      <c r="B980" s="1">
        <v>46184</v>
      </c>
      <c r="C980" t="s">
        <v>46</v>
      </c>
      <c r="D980" t="s">
        <v>25</v>
      </c>
      <c r="E980" t="s">
        <v>61</v>
      </c>
      <c r="F980" t="s">
        <v>13</v>
      </c>
      <c r="G980">
        <v>4</v>
      </c>
      <c r="H980">
        <v>8700</v>
      </c>
      <c r="I980">
        <v>34800</v>
      </c>
    </row>
    <row r="981" spans="1:9" x14ac:dyDescent="0.35">
      <c r="A981" t="s">
        <v>1022</v>
      </c>
      <c r="B981" s="1">
        <v>46025</v>
      </c>
      <c r="C981" t="s">
        <v>29</v>
      </c>
      <c r="D981" t="s">
        <v>16</v>
      </c>
      <c r="E981" t="s">
        <v>61</v>
      </c>
      <c r="F981" t="s">
        <v>13</v>
      </c>
      <c r="G981">
        <v>8</v>
      </c>
      <c r="H981">
        <v>7500</v>
      </c>
      <c r="I981">
        <v>60000</v>
      </c>
    </row>
    <row r="982" spans="1:9" x14ac:dyDescent="0.35">
      <c r="A982" t="s">
        <v>1023</v>
      </c>
      <c r="B982" s="1">
        <v>46202</v>
      </c>
      <c r="C982" t="s">
        <v>44</v>
      </c>
      <c r="D982" t="s">
        <v>16</v>
      </c>
      <c r="E982" t="s">
        <v>37</v>
      </c>
      <c r="F982" t="s">
        <v>18</v>
      </c>
      <c r="G982">
        <v>2</v>
      </c>
      <c r="H982">
        <v>50100</v>
      </c>
      <c r="I982">
        <v>100200</v>
      </c>
    </row>
    <row r="983" spans="1:9" x14ac:dyDescent="0.35">
      <c r="A983" t="s">
        <v>1024</v>
      </c>
      <c r="B983" s="1">
        <v>46178</v>
      </c>
      <c r="C983" t="s">
        <v>34</v>
      </c>
      <c r="D983" t="s">
        <v>16</v>
      </c>
      <c r="E983" t="s">
        <v>32</v>
      </c>
      <c r="F983" t="s">
        <v>13</v>
      </c>
      <c r="G983">
        <v>1</v>
      </c>
      <c r="H983">
        <v>4000</v>
      </c>
      <c r="I983">
        <v>4000</v>
      </c>
    </row>
    <row r="984" spans="1:9" x14ac:dyDescent="0.35">
      <c r="A984" t="s">
        <v>1025</v>
      </c>
      <c r="B984" s="1">
        <v>46188</v>
      </c>
      <c r="C984" t="s">
        <v>65</v>
      </c>
      <c r="D984" t="s">
        <v>11</v>
      </c>
      <c r="E984" t="s">
        <v>63</v>
      </c>
      <c r="F984" t="s">
        <v>55</v>
      </c>
      <c r="G984">
        <v>4</v>
      </c>
      <c r="H984">
        <v>33200</v>
      </c>
      <c r="I984">
        <v>132800</v>
      </c>
    </row>
    <row r="985" spans="1:9" x14ac:dyDescent="0.35">
      <c r="A985" t="s">
        <v>1026</v>
      </c>
      <c r="B985" s="1">
        <v>46204</v>
      </c>
      <c r="C985" t="s">
        <v>24</v>
      </c>
      <c r="D985" t="s">
        <v>25</v>
      </c>
      <c r="E985" t="s">
        <v>21</v>
      </c>
      <c r="F985" t="s">
        <v>22</v>
      </c>
      <c r="G985">
        <v>3</v>
      </c>
      <c r="H985">
        <v>26300</v>
      </c>
      <c r="I985">
        <v>78900</v>
      </c>
    </row>
    <row r="986" spans="1:9" x14ac:dyDescent="0.35">
      <c r="A986" t="s">
        <v>1027</v>
      </c>
      <c r="B986" s="1">
        <v>46188</v>
      </c>
      <c r="C986" t="s">
        <v>46</v>
      </c>
      <c r="D986" t="s">
        <v>74</v>
      </c>
      <c r="E986" t="s">
        <v>26</v>
      </c>
      <c r="F986" t="s">
        <v>18</v>
      </c>
      <c r="G986">
        <v>8</v>
      </c>
      <c r="H986">
        <v>95500</v>
      </c>
      <c r="I986">
        <v>764000</v>
      </c>
    </row>
    <row r="987" spans="1:9" x14ac:dyDescent="0.35">
      <c r="A987" t="s">
        <v>1028</v>
      </c>
      <c r="B987" s="1">
        <v>46120</v>
      </c>
      <c r="C987" t="s">
        <v>65</v>
      </c>
      <c r="D987" t="s">
        <v>25</v>
      </c>
      <c r="E987" t="s">
        <v>40</v>
      </c>
      <c r="F987" t="s">
        <v>13</v>
      </c>
      <c r="G987">
        <v>4</v>
      </c>
      <c r="H987">
        <v>6600</v>
      </c>
      <c r="I987">
        <v>26400</v>
      </c>
    </row>
    <row r="988" spans="1:9" x14ac:dyDescent="0.35">
      <c r="A988" t="s">
        <v>1029</v>
      </c>
      <c r="B988" s="1">
        <v>46092</v>
      </c>
      <c r="C988" t="s">
        <v>51</v>
      </c>
      <c r="D988" t="s">
        <v>16</v>
      </c>
      <c r="E988" t="s">
        <v>37</v>
      </c>
      <c r="F988" t="s">
        <v>18</v>
      </c>
      <c r="G988">
        <v>4</v>
      </c>
      <c r="H988">
        <v>54800</v>
      </c>
      <c r="I988">
        <v>219200</v>
      </c>
    </row>
    <row r="989" spans="1:9" x14ac:dyDescent="0.35">
      <c r="A989" t="s">
        <v>1030</v>
      </c>
      <c r="B989" s="1">
        <v>46058</v>
      </c>
      <c r="C989" t="s">
        <v>31</v>
      </c>
      <c r="D989" t="s">
        <v>74</v>
      </c>
      <c r="E989" t="s">
        <v>21</v>
      </c>
      <c r="F989" t="s">
        <v>22</v>
      </c>
      <c r="G989">
        <v>8</v>
      </c>
      <c r="H989">
        <v>24600</v>
      </c>
      <c r="I989">
        <v>196800</v>
      </c>
    </row>
    <row r="990" spans="1:9" x14ac:dyDescent="0.35">
      <c r="A990" t="s">
        <v>1031</v>
      </c>
      <c r="B990" s="1">
        <v>46060</v>
      </c>
      <c r="C990" t="s">
        <v>34</v>
      </c>
      <c r="D990" t="s">
        <v>11</v>
      </c>
      <c r="E990" t="s">
        <v>37</v>
      </c>
      <c r="F990" t="s">
        <v>18</v>
      </c>
      <c r="G990">
        <v>8</v>
      </c>
      <c r="H990">
        <v>53300</v>
      </c>
      <c r="I990">
        <v>426400</v>
      </c>
    </row>
    <row r="991" spans="1:9" x14ac:dyDescent="0.35">
      <c r="A991" t="s">
        <v>1032</v>
      </c>
      <c r="B991" s="1">
        <v>46049</v>
      </c>
      <c r="C991" t="s">
        <v>46</v>
      </c>
      <c r="D991" t="s">
        <v>36</v>
      </c>
      <c r="E991" t="s">
        <v>61</v>
      </c>
      <c r="F991" t="s">
        <v>13</v>
      </c>
      <c r="G991">
        <v>6</v>
      </c>
      <c r="H991">
        <v>8600</v>
      </c>
      <c r="I991">
        <v>51600</v>
      </c>
    </row>
    <row r="992" spans="1:9" x14ac:dyDescent="0.35">
      <c r="A992" t="s">
        <v>1033</v>
      </c>
      <c r="B992" s="1">
        <v>46170</v>
      </c>
      <c r="C992" t="s">
        <v>10</v>
      </c>
      <c r="D992" t="s">
        <v>11</v>
      </c>
      <c r="E992" t="s">
        <v>17</v>
      </c>
      <c r="F992" t="s">
        <v>18</v>
      </c>
      <c r="G992">
        <v>1</v>
      </c>
      <c r="H992">
        <v>39700</v>
      </c>
      <c r="I992">
        <v>39700</v>
      </c>
    </row>
    <row r="993" spans="1:9" x14ac:dyDescent="0.35">
      <c r="A993" t="s">
        <v>1034</v>
      </c>
      <c r="B993" s="1">
        <v>46079</v>
      </c>
      <c r="C993" t="s">
        <v>15</v>
      </c>
      <c r="D993" t="s">
        <v>36</v>
      </c>
      <c r="E993" t="s">
        <v>54</v>
      </c>
      <c r="F993" t="s">
        <v>55</v>
      </c>
      <c r="G993">
        <v>2</v>
      </c>
      <c r="H993">
        <v>21700</v>
      </c>
      <c r="I993">
        <v>43400</v>
      </c>
    </row>
    <row r="994" spans="1:9" x14ac:dyDescent="0.35">
      <c r="A994" t="s">
        <v>1035</v>
      </c>
      <c r="B994" s="1">
        <v>46073</v>
      </c>
      <c r="C994" t="s">
        <v>20</v>
      </c>
      <c r="D994" t="s">
        <v>36</v>
      </c>
      <c r="E994" t="s">
        <v>12</v>
      </c>
      <c r="F994" t="s">
        <v>13</v>
      </c>
      <c r="G994">
        <v>8</v>
      </c>
      <c r="H994">
        <v>2600</v>
      </c>
      <c r="I994">
        <v>20800</v>
      </c>
    </row>
    <row r="995" spans="1:9" x14ac:dyDescent="0.35">
      <c r="A995" t="s">
        <v>1036</v>
      </c>
      <c r="B995" s="1">
        <v>46155</v>
      </c>
      <c r="C995" t="s">
        <v>65</v>
      </c>
      <c r="D995" t="s">
        <v>36</v>
      </c>
      <c r="E995" t="s">
        <v>63</v>
      </c>
      <c r="F995" t="s">
        <v>55</v>
      </c>
      <c r="G995">
        <v>5</v>
      </c>
      <c r="H995">
        <v>30500</v>
      </c>
      <c r="I995">
        <v>152500</v>
      </c>
    </row>
    <row r="996" spans="1:9" x14ac:dyDescent="0.35">
      <c r="A996" t="s">
        <v>1037</v>
      </c>
      <c r="B996" s="1">
        <v>46104</v>
      </c>
      <c r="C996" t="s">
        <v>15</v>
      </c>
      <c r="D996" t="s">
        <v>25</v>
      </c>
      <c r="E996" t="s">
        <v>37</v>
      </c>
      <c r="F996" t="s">
        <v>18</v>
      </c>
      <c r="G996">
        <v>1</v>
      </c>
      <c r="H996">
        <v>49800</v>
      </c>
      <c r="I996">
        <v>49800</v>
      </c>
    </row>
    <row r="997" spans="1:9" x14ac:dyDescent="0.35">
      <c r="A997" t="s">
        <v>1038</v>
      </c>
      <c r="B997" s="1">
        <v>46025</v>
      </c>
      <c r="C997" t="s">
        <v>34</v>
      </c>
      <c r="D997" t="s">
        <v>11</v>
      </c>
      <c r="E997" t="s">
        <v>61</v>
      </c>
      <c r="F997" t="s">
        <v>13</v>
      </c>
      <c r="G997">
        <v>5</v>
      </c>
      <c r="H997">
        <v>9100</v>
      </c>
      <c r="I997">
        <v>45500</v>
      </c>
    </row>
    <row r="998" spans="1:9" x14ac:dyDescent="0.35">
      <c r="A998" t="s">
        <v>1039</v>
      </c>
      <c r="B998" s="1">
        <v>46156</v>
      </c>
      <c r="C998" t="s">
        <v>65</v>
      </c>
      <c r="D998" t="s">
        <v>49</v>
      </c>
      <c r="E998" t="s">
        <v>63</v>
      </c>
      <c r="F998" t="s">
        <v>55</v>
      </c>
      <c r="G998">
        <v>4</v>
      </c>
      <c r="H998">
        <v>32500</v>
      </c>
      <c r="I998">
        <v>130000</v>
      </c>
    </row>
    <row r="999" spans="1:9" x14ac:dyDescent="0.35">
      <c r="A999" t="s">
        <v>1040</v>
      </c>
      <c r="B999" s="1">
        <v>46160</v>
      </c>
      <c r="C999" t="s">
        <v>39</v>
      </c>
      <c r="D999" t="s">
        <v>36</v>
      </c>
      <c r="E999" t="s">
        <v>54</v>
      </c>
      <c r="F999" t="s">
        <v>55</v>
      </c>
      <c r="G999">
        <v>7</v>
      </c>
      <c r="H999">
        <v>23200</v>
      </c>
      <c r="I999">
        <v>162400</v>
      </c>
    </row>
    <row r="1000" spans="1:9" x14ac:dyDescent="0.35">
      <c r="A1000" t="s">
        <v>1041</v>
      </c>
      <c r="B1000" s="1">
        <v>46189</v>
      </c>
      <c r="C1000" t="s">
        <v>31</v>
      </c>
      <c r="D1000" t="s">
        <v>36</v>
      </c>
      <c r="E1000" t="s">
        <v>12</v>
      </c>
      <c r="F1000" t="s">
        <v>13</v>
      </c>
      <c r="G1000">
        <v>2</v>
      </c>
      <c r="H1000">
        <v>2700</v>
      </c>
      <c r="I1000">
        <v>5400</v>
      </c>
    </row>
    <row r="1001" spans="1:9" x14ac:dyDescent="0.35">
      <c r="A1001" t="s">
        <v>1042</v>
      </c>
      <c r="B1001" s="1">
        <v>46181</v>
      </c>
      <c r="C1001" t="s">
        <v>46</v>
      </c>
      <c r="D1001" t="s">
        <v>74</v>
      </c>
      <c r="E1001" t="s">
        <v>17</v>
      </c>
      <c r="F1001" t="s">
        <v>18</v>
      </c>
      <c r="G1001">
        <v>1</v>
      </c>
      <c r="H1001">
        <v>36700</v>
      </c>
      <c r="I1001">
        <v>36700</v>
      </c>
    </row>
    <row r="1002" spans="1:9" x14ac:dyDescent="0.35">
      <c r="A1002" t="s">
        <v>1043</v>
      </c>
      <c r="B1002" s="1">
        <v>46161</v>
      </c>
      <c r="C1002" t="s">
        <v>31</v>
      </c>
      <c r="D1002" t="s">
        <v>16</v>
      </c>
      <c r="E1002" t="s">
        <v>61</v>
      </c>
      <c r="F1002" t="s">
        <v>13</v>
      </c>
      <c r="G1002">
        <v>1</v>
      </c>
      <c r="H1002">
        <v>8600</v>
      </c>
      <c r="I1002">
        <v>8600</v>
      </c>
    </row>
    <row r="1003" spans="1:9" x14ac:dyDescent="0.35">
      <c r="A1003" t="s">
        <v>1044</v>
      </c>
      <c r="B1003" s="1">
        <v>46139</v>
      </c>
      <c r="C1003" t="s">
        <v>39</v>
      </c>
      <c r="D1003" t="s">
        <v>36</v>
      </c>
      <c r="E1003" t="s">
        <v>32</v>
      </c>
      <c r="F1003" t="s">
        <v>13</v>
      </c>
      <c r="G1003">
        <v>1</v>
      </c>
      <c r="H1003">
        <v>4100</v>
      </c>
      <c r="I1003">
        <v>4100</v>
      </c>
    </row>
    <row r="1004" spans="1:9" x14ac:dyDescent="0.35">
      <c r="A1004" t="s">
        <v>1045</v>
      </c>
      <c r="B1004" s="1">
        <v>46132</v>
      </c>
      <c r="C1004" t="s">
        <v>46</v>
      </c>
      <c r="D1004" t="s">
        <v>16</v>
      </c>
      <c r="E1004" t="s">
        <v>37</v>
      </c>
      <c r="F1004" t="s">
        <v>18</v>
      </c>
      <c r="G1004">
        <v>1</v>
      </c>
      <c r="H1004">
        <v>48100</v>
      </c>
      <c r="I1004">
        <v>48100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2808C4-7459-45DA-88AC-A1FE8BA67C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Category</vt:lpstr>
      <vt:lpstr>Region</vt:lpstr>
      <vt:lpstr>Sales</vt:lpstr>
      <vt:lpstr>Top 10</vt:lpstr>
      <vt:lpstr>Clean data</vt: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ali</cp:lastModifiedBy>
  <dcterms:created xsi:type="dcterms:W3CDTF">2026-08-12T13:28:22Z</dcterms:created>
  <dcterms:modified xsi:type="dcterms:W3CDTF">2026-08-12T21:18:50Z</dcterms:modified>
</cp:coreProperties>
</file>